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reno\Desktop\"/>
    </mc:Choice>
  </mc:AlternateContent>
  <xr:revisionPtr revIDLastSave="0" documentId="13_ncr:1_{155306E6-EB4A-4A1E-ACA9-171DCDFB392D}" xr6:coauthVersionLast="47" xr6:coauthVersionMax="47" xr10:uidLastSave="{00000000-0000-0000-0000-000000000000}"/>
  <bookViews>
    <workbookView xWindow="-120" yWindow="-120" windowWidth="29040" windowHeight="15720" activeTab="2" xr2:uid="{0699DAE6-6529-447B-AFA0-1E43C52372CF}"/>
  </bookViews>
  <sheets>
    <sheet name="Analise_Produtos" sheetId="4" r:id="rId1"/>
    <sheet name="Analise_Regioes" sheetId="5" r:id="rId2"/>
    <sheet name="Dashboard" sheetId="6" r:id="rId3"/>
    <sheet name="Base_Dados" sheetId="1" r:id="rId4"/>
    <sheet name="Indicadores" sheetId="2" r:id="rId5"/>
  </sheets>
  <calcPr calcId="191029"/>
  <pivotCaches>
    <pivotCache cacheId="3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4" i="2" s="1"/>
  <c r="B3" i="2"/>
</calcChain>
</file>

<file path=xl/sharedStrings.xml><?xml version="1.0" encoding="utf-8"?>
<sst xmlns="http://schemas.openxmlformats.org/spreadsheetml/2006/main" count="629" uniqueCount="26">
  <si>
    <t>pedido_id</t>
  </si>
  <si>
    <t>data</t>
  </si>
  <si>
    <t>produto</t>
  </si>
  <si>
    <t>quantidade</t>
  </si>
  <si>
    <t>preco_unitario</t>
  </si>
  <si>
    <t>regiao</t>
  </si>
  <si>
    <t>faturamento</t>
  </si>
  <si>
    <t>Webcam</t>
  </si>
  <si>
    <t>Nordeste</t>
  </si>
  <si>
    <t>Mouse</t>
  </si>
  <si>
    <t>Sudeste</t>
  </si>
  <si>
    <t>Centro-Oeste</t>
  </si>
  <si>
    <t>Notebook</t>
  </si>
  <si>
    <t>Sul</t>
  </si>
  <si>
    <t>Headset</t>
  </si>
  <si>
    <t>Teclado</t>
  </si>
  <si>
    <t>Norte</t>
  </si>
  <si>
    <t>Monitor</t>
  </si>
  <si>
    <t>Indicador</t>
  </si>
  <si>
    <t>Valor</t>
  </si>
  <si>
    <t>Faturamento Total</t>
  </si>
  <si>
    <t>Total de Pedidos</t>
  </si>
  <si>
    <t>Ticket Médio</t>
  </si>
  <si>
    <t>Rótulos de Linha</t>
  </si>
  <si>
    <t>Total Geral</t>
  </si>
  <si>
    <t>Soma de faturamento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</si>
</sst>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33" borderId="0" xfId="0" applyFont="1" applyFill="1"/>
    <xf numFmtId="0" fontId="21" fillId="33" borderId="0" xfId="0" applyFont="1" applyFill="1"/>
    <xf numFmtId="8" fontId="21" fillId="33" borderId="0" xfId="0" applyNumberFormat="1" applyFont="1" applyFill="1" applyAlignment="1">
      <alignment horizontal="left"/>
    </xf>
    <xf numFmtId="44" fontId="0" fillId="0" borderId="0" xfId="0" pivotButton="1" applyNumberFormat="1"/>
    <xf numFmtId="44" fontId="0" fillId="0" borderId="0" xfId="0" applyNumberFormat="1"/>
    <xf numFmtId="4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9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9" formatCode="dd/mm/yyyy"/>
    </dxf>
  </dxfs>
  <tableStyles count="0" defaultTableStyle="TableStyleMedium2" defaultPivotStyle="PivotStyleLight16"/>
  <colors>
    <mruColors>
      <color rgb="FFEB783F"/>
      <color rgb="FFE75E19"/>
      <color rgb="FF2463A0"/>
      <color rgb="FF073B70"/>
      <color rgb="FFF8D1BE"/>
      <color rgb="FFFF9900"/>
      <color rgb="FFEE8D5C"/>
      <color rgb="FFE97132"/>
      <color rgb="FFC8E2F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[Dashboard_Vendas_2025.xlsx]Analise_Produtos!Tabela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500"/>
              <a:t>Faturamento por Produto - 2025</a:t>
            </a:r>
          </a:p>
        </c:rich>
      </c:tx>
      <c:layout>
        <c:manualLayout>
          <c:xMode val="edge"/>
          <c:yMode val="edge"/>
          <c:x val="1.3102001316621072E-2"/>
          <c:y val="2.9350234357537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55000">
                <a:srgbClr val="2463A0"/>
              </a:gs>
              <a:gs pos="32000">
                <a:srgbClr val="073B70"/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55000">
                <a:srgbClr val="EB783F"/>
              </a:gs>
              <a:gs pos="32000">
                <a:srgbClr val="E75E19"/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55000">
                <a:srgbClr val="2463A0"/>
              </a:gs>
              <a:gs pos="32000">
                <a:srgbClr val="073B70"/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Analise_Produtos!$B$3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55000">
                  <a:srgbClr val="2463A0"/>
                </a:gs>
                <a:gs pos="32000">
                  <a:srgbClr val="073B70"/>
                </a:gs>
              </a:gsLst>
              <a:lin ang="13500000" scaled="1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3"/>
            <c:invertIfNegative val="0"/>
            <c:bubble3D val="0"/>
            <c:spPr>
              <a:gradFill rotWithShape="1">
                <a:gsLst>
                  <a:gs pos="55000">
                    <a:srgbClr val="EB783F"/>
                  </a:gs>
                  <a:gs pos="32000">
                    <a:srgbClr val="E75E19"/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8B-47EB-B8D2-35D166CB0EA9}"/>
              </c:ext>
            </c:extLst>
          </c:dPt>
          <c:cat>
            <c:strRef>
              <c:f>Analise_Produtos!$A$4:$A$10</c:f>
              <c:strCache>
                <c:ptCount val="6"/>
                <c:pt idx="0">
                  <c:v>Headset</c:v>
                </c:pt>
                <c:pt idx="1">
                  <c:v>Monitor</c:v>
                </c:pt>
                <c:pt idx="2">
                  <c:v>Mouse</c:v>
                </c:pt>
                <c:pt idx="3">
                  <c:v>Notebook</c:v>
                </c:pt>
                <c:pt idx="4">
                  <c:v>Teclado</c:v>
                </c:pt>
                <c:pt idx="5">
                  <c:v>Webcam</c:v>
                </c:pt>
              </c:strCache>
            </c:strRef>
          </c:cat>
          <c:val>
            <c:numRef>
              <c:f>Analise_Produtos!$B$4:$B$10</c:f>
              <c:numCache>
                <c:formatCode>General</c:formatCode>
                <c:ptCount val="6"/>
                <c:pt idx="0">
                  <c:v>27840</c:v>
                </c:pt>
                <c:pt idx="1">
                  <c:v>107350</c:v>
                </c:pt>
                <c:pt idx="2">
                  <c:v>11475</c:v>
                </c:pt>
                <c:pt idx="3">
                  <c:v>368000</c:v>
                </c:pt>
                <c:pt idx="4">
                  <c:v>22240</c:v>
                </c:pt>
                <c:pt idx="5">
                  <c:v>29820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B-47EB-B8D2-35D166CB0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06029135"/>
        <c:axId val="1405788047"/>
      </c:barChart>
      <c:catAx>
        <c:axId val="140602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5788047"/>
        <c:crosses val="autoZero"/>
        <c:auto val="1"/>
        <c:lblAlgn val="ctr"/>
        <c:lblOffset val="100"/>
        <c:noMultiLvlLbl val="0"/>
      </c:catAx>
      <c:valAx>
        <c:axId val="14057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602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[Dashboard_Vendas_2025.xlsx]Analise_Regioes!Tabela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Região - 2025</a:t>
            </a:r>
          </a:p>
        </c:rich>
      </c:tx>
      <c:layout>
        <c:manualLayout>
          <c:xMode val="edge"/>
          <c:yMode val="edge"/>
          <c:x val="1.2056736490855627E-2"/>
          <c:y val="2.5185026337326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55000">
                <a:srgbClr val="EB783F"/>
              </a:gs>
              <a:gs pos="32000">
                <a:srgbClr val="FF9900"/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E360CC8-5FC9-40C8-BEF5-2418F61028E1}" type="VALUE">
                  <a:rPr lang="en-US">
                    <a:solidFill>
                      <a:schemeClr val="tx2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gradFill rotWithShape="1">
            <a:gsLst>
              <a:gs pos="55000">
                <a:schemeClr val="tx2">
                  <a:lumMod val="75000"/>
                  <a:lumOff val="25000"/>
                  <a:shade val="30000"/>
                  <a:satMod val="115000"/>
                </a:schemeClr>
              </a:gs>
              <a:gs pos="32000">
                <a:schemeClr val="tx2">
                  <a:lumMod val="75000"/>
                  <a:lumOff val="25000"/>
                  <a:shade val="100000"/>
                  <a:satMod val="115000"/>
                </a:schemeClr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7AACBCC-CF45-4CF2-B716-79825BA46183}" type="VALUE">
                  <a:rPr lang="en-US">
                    <a:solidFill>
                      <a:schemeClr val="tx2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55000">
                <a:schemeClr val="tx2">
                  <a:lumMod val="75000"/>
                  <a:lumOff val="25000"/>
                  <a:shade val="30000"/>
                  <a:satMod val="115000"/>
                </a:schemeClr>
              </a:gs>
              <a:gs pos="32000">
                <a:schemeClr val="tx2">
                  <a:lumMod val="75000"/>
                  <a:lumOff val="25000"/>
                  <a:shade val="100000"/>
                  <a:satMod val="115000"/>
                </a:schemeClr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9AC503-1577-488A-AB9C-7C3096F57A57}" type="VALUE">
                  <a:rPr lang="en-US">
                    <a:solidFill>
                      <a:schemeClr val="tx2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gradFill rotWithShape="1">
            <a:gsLst>
              <a:gs pos="55000">
                <a:schemeClr val="tx2">
                  <a:lumMod val="75000"/>
                  <a:lumOff val="25000"/>
                  <a:shade val="30000"/>
                  <a:satMod val="115000"/>
                </a:schemeClr>
              </a:gs>
              <a:gs pos="32000">
                <a:schemeClr val="tx2">
                  <a:lumMod val="75000"/>
                  <a:lumOff val="25000"/>
                  <a:shade val="100000"/>
                  <a:satMod val="115000"/>
                </a:schemeClr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1435635-A245-4708-B934-523D767D3760}" type="VALUE">
                  <a:rPr lang="en-US">
                    <a:solidFill>
                      <a:schemeClr val="tx2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55000">
                <a:schemeClr val="tx2">
                  <a:lumMod val="75000"/>
                  <a:lumOff val="25000"/>
                  <a:shade val="30000"/>
                  <a:satMod val="115000"/>
                </a:schemeClr>
              </a:gs>
              <a:gs pos="32000">
                <a:schemeClr val="tx2">
                  <a:lumMod val="75000"/>
                  <a:lumOff val="25000"/>
                  <a:shade val="100000"/>
                  <a:satMod val="115000"/>
                </a:schemeClr>
              </a:gs>
            </a:gsLst>
            <a:lin ang="13500000" scaled="1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5DEBA2A-704C-4E90-9953-491C17F153BB}" type="VALUE">
                  <a:rPr lang="en-US">
                    <a:solidFill>
                      <a:schemeClr val="tx2"/>
                    </a:solidFill>
                  </a:rPr>
                  <a:pPr>
                    <a:defRPr b="1"/>
                  </a:pPr>
                  <a:t>[VALOR]</a:t>
                </a:fld>
                <a:endParaRPr lang="pt-BR"/>
              </a:p>
            </c:rich>
          </c:tx>
          <c:numFmt formatCode="&quot;R$&quot;\ #,##0" sourceLinked="0"/>
          <c:spPr>
            <a:solidFill>
              <a:schemeClr val="bg1"/>
            </a:solidFill>
            <a:ln>
              <a:solidFill>
                <a:schemeClr val="bg1"/>
              </a:solidFill>
            </a:ln>
            <a:effectLst>
              <a:softEdge rad="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Analise_Regioes!$B$3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55000">
                    <a:schemeClr val="tx2">
                      <a:lumMod val="75000"/>
                      <a:lumOff val="25000"/>
                      <a:shade val="30000"/>
                      <a:satMod val="115000"/>
                    </a:schemeClr>
                  </a:gs>
                  <a:gs pos="32000">
                    <a:schemeClr val="tx2">
                      <a:lumMod val="75000"/>
                      <a:lumOff val="25000"/>
                      <a:shade val="100000"/>
                      <a:satMod val="115000"/>
                    </a:schemeClr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AF-4BC1-AC98-668FCB000CA3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55000">
                    <a:schemeClr val="tx2">
                      <a:lumMod val="75000"/>
                      <a:lumOff val="25000"/>
                      <a:shade val="30000"/>
                      <a:satMod val="115000"/>
                    </a:schemeClr>
                  </a:gs>
                  <a:gs pos="32000">
                    <a:schemeClr val="tx2">
                      <a:lumMod val="75000"/>
                      <a:lumOff val="25000"/>
                      <a:shade val="100000"/>
                      <a:satMod val="115000"/>
                    </a:schemeClr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FAF-4BC1-AC98-668FCB000CA3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55000">
                    <a:schemeClr val="tx2">
                      <a:lumMod val="75000"/>
                      <a:lumOff val="25000"/>
                      <a:shade val="30000"/>
                      <a:satMod val="115000"/>
                    </a:schemeClr>
                  </a:gs>
                  <a:gs pos="32000">
                    <a:schemeClr val="tx2">
                      <a:lumMod val="75000"/>
                      <a:lumOff val="25000"/>
                      <a:shade val="100000"/>
                      <a:satMod val="115000"/>
                    </a:schemeClr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AF-4BC1-AC98-668FCB000CA3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55000">
                    <a:schemeClr val="tx2">
                      <a:lumMod val="75000"/>
                      <a:lumOff val="25000"/>
                      <a:shade val="30000"/>
                      <a:satMod val="115000"/>
                    </a:schemeClr>
                  </a:gs>
                  <a:gs pos="32000">
                    <a:schemeClr val="tx2">
                      <a:lumMod val="75000"/>
                      <a:lumOff val="25000"/>
                      <a:shade val="100000"/>
                      <a:satMod val="115000"/>
                    </a:schemeClr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FAF-4BC1-AC98-668FCB000CA3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55000">
                    <a:srgbClr val="EB783F"/>
                  </a:gs>
                  <a:gs pos="32000">
                    <a:srgbClr val="FF9900"/>
                  </a:gs>
                </a:gsLst>
                <a:lin ang="13500000" scaled="1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40-43F0-8CDF-1A41EF887E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5DEBA2A-704C-4E90-9953-491C17F153BB}" type="VALUE">
                      <a:rPr lang="en-US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CFAF-4BC1-AC98-668FCB000C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435635-A245-4708-B934-523D767D3760}" type="VALUE">
                      <a:rPr lang="en-US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FAF-4BC1-AC98-668FCB000C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9AC503-1577-488A-AB9C-7C3096F57A57}" type="VALUE">
                      <a:rPr lang="en-US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FAF-4BC1-AC98-668FCB000C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AACBCC-CF45-4CF2-B716-79825BA46183}" type="VALUE">
                      <a:rPr lang="en-US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FAF-4BC1-AC98-668FCB000C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E360CC8-5FC9-40C8-BEF5-2418F61028E1}" type="VALUE">
                      <a:rPr lang="en-US">
                        <a:solidFill>
                          <a:schemeClr val="tx2"/>
                        </a:solidFill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640-43F0-8CDF-1A41EF887EC0}"/>
                </c:ext>
              </c:extLst>
            </c:dLbl>
            <c:numFmt formatCode="&quot;R$&quot;\ #,##0" sourceLinked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Analise_Regioes!$A$4:$A$9</c:f>
              <c:strCache>
                <c:ptCount val="5"/>
                <c:pt idx="0">
                  <c:v>Sul</c:v>
                </c:pt>
                <c:pt idx="1">
                  <c:v>Norte</c:v>
                </c:pt>
                <c:pt idx="2">
                  <c:v>Nordeste</c:v>
                </c:pt>
                <c:pt idx="3">
                  <c:v>Centro-Oeste</c:v>
                </c:pt>
                <c:pt idx="4">
                  <c:v>Sudeste</c:v>
                </c:pt>
              </c:strCache>
            </c:strRef>
          </c:cat>
          <c:val>
            <c:numRef>
              <c:f>Analise_Regioes!$B$4:$B$9</c:f>
              <c:numCache>
                <c:formatCode>_("R$"* #,##0.00_);_("R$"* \(#,##0.00\);_("R$"* "-"??_);_(@_)</c:formatCode>
                <c:ptCount val="5"/>
                <c:pt idx="0">
                  <c:v>94805</c:v>
                </c:pt>
                <c:pt idx="1">
                  <c:v>95065</c:v>
                </c:pt>
                <c:pt idx="2">
                  <c:v>120930</c:v>
                </c:pt>
                <c:pt idx="3">
                  <c:v>123750</c:v>
                </c:pt>
                <c:pt idx="4">
                  <c:v>132175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0-43F0-8CDF-1A41EF887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0749727"/>
        <c:axId val="1405753487"/>
      </c:barChart>
      <c:catAx>
        <c:axId val="15074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5753487"/>
        <c:crosses val="autoZero"/>
        <c:auto val="1"/>
        <c:lblAlgn val="ctr"/>
        <c:lblOffset val="100"/>
        <c:noMultiLvlLbl val="0"/>
      </c:catAx>
      <c:valAx>
        <c:axId val="1405753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74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11.png"/><Relationship Id="rId18" Type="http://schemas.openxmlformats.org/officeDocument/2006/relationships/image" Target="../media/image16.svg"/><Relationship Id="rId26" Type="http://schemas.openxmlformats.org/officeDocument/2006/relationships/image" Target="../media/image24.svg"/><Relationship Id="rId3" Type="http://schemas.openxmlformats.org/officeDocument/2006/relationships/image" Target="../media/image1.png"/><Relationship Id="rId21" Type="http://schemas.openxmlformats.org/officeDocument/2006/relationships/image" Target="../media/image19.png"/><Relationship Id="rId7" Type="http://schemas.openxmlformats.org/officeDocument/2006/relationships/image" Target="../media/image5.png"/><Relationship Id="rId12" Type="http://schemas.openxmlformats.org/officeDocument/2006/relationships/image" Target="../media/image10.svg"/><Relationship Id="rId17" Type="http://schemas.openxmlformats.org/officeDocument/2006/relationships/image" Target="../media/image15.png"/><Relationship Id="rId25" Type="http://schemas.openxmlformats.org/officeDocument/2006/relationships/image" Target="../media/image23.png"/><Relationship Id="rId2" Type="http://schemas.openxmlformats.org/officeDocument/2006/relationships/chart" Target="../charts/chart2.xml"/><Relationship Id="rId16" Type="http://schemas.openxmlformats.org/officeDocument/2006/relationships/image" Target="../media/image14.svg"/><Relationship Id="rId20" Type="http://schemas.openxmlformats.org/officeDocument/2006/relationships/image" Target="../media/image18.svg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11" Type="http://schemas.openxmlformats.org/officeDocument/2006/relationships/image" Target="../media/image9.png"/><Relationship Id="rId24" Type="http://schemas.openxmlformats.org/officeDocument/2006/relationships/image" Target="../media/image22.svg"/><Relationship Id="rId5" Type="http://schemas.openxmlformats.org/officeDocument/2006/relationships/image" Target="../media/image3.png"/><Relationship Id="rId15" Type="http://schemas.openxmlformats.org/officeDocument/2006/relationships/image" Target="../media/image13.png"/><Relationship Id="rId23" Type="http://schemas.openxmlformats.org/officeDocument/2006/relationships/image" Target="../media/image21.png"/><Relationship Id="rId28" Type="http://schemas.openxmlformats.org/officeDocument/2006/relationships/image" Target="../media/image26.svg"/><Relationship Id="rId10" Type="http://schemas.openxmlformats.org/officeDocument/2006/relationships/image" Target="../media/image8.svg"/><Relationship Id="rId19" Type="http://schemas.openxmlformats.org/officeDocument/2006/relationships/image" Target="../media/image17.png"/><Relationship Id="rId4" Type="http://schemas.openxmlformats.org/officeDocument/2006/relationships/image" Target="../media/image2.svg"/><Relationship Id="rId9" Type="http://schemas.openxmlformats.org/officeDocument/2006/relationships/image" Target="../media/image7.png"/><Relationship Id="rId14" Type="http://schemas.openxmlformats.org/officeDocument/2006/relationships/image" Target="../media/image12.svg"/><Relationship Id="rId22" Type="http://schemas.openxmlformats.org/officeDocument/2006/relationships/image" Target="../media/image20.svg"/><Relationship Id="rId27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63233</xdr:colOff>
      <xdr:row>9</xdr:row>
      <xdr:rowOff>145677</xdr:rowOff>
    </xdr:from>
    <xdr:to>
      <xdr:col>3</xdr:col>
      <xdr:colOff>911679</xdr:colOff>
      <xdr:row>25</xdr:row>
      <xdr:rowOff>59391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33BCBE-D8DA-4419-9D97-B4DEB16408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952500</xdr:colOff>
      <xdr:row>9</xdr:row>
      <xdr:rowOff>142875</xdr:rowOff>
    </xdr:from>
    <xdr:to>
      <xdr:col>15</xdr:col>
      <xdr:colOff>190500</xdr:colOff>
      <xdr:row>25</xdr:row>
      <xdr:rowOff>89807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546298-33C7-4751-9727-C88680C3B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16</xdr:col>
      <xdr:colOff>0</xdr:colOff>
      <xdr:row>24</xdr:row>
      <xdr:rowOff>22412</xdr:rowOff>
    </xdr:from>
    <xdr:ext cx="184731" cy="264560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B868AECB-E507-A4B7-AC17-5289AAE8DCCA}"/>
            </a:ext>
          </a:extLst>
        </xdr:cNvPr>
        <xdr:cNvSpPr txBox="1"/>
      </xdr:nvSpPr>
      <xdr:spPr>
        <a:xfrm>
          <a:off x="14321118" y="470647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</xdr:col>
      <xdr:colOff>526676</xdr:colOff>
      <xdr:row>4</xdr:row>
      <xdr:rowOff>4804</xdr:rowOff>
    </xdr:from>
    <xdr:to>
      <xdr:col>3</xdr:col>
      <xdr:colOff>224117</xdr:colOff>
      <xdr:row>9</xdr:row>
      <xdr:rowOff>27215</xdr:rowOff>
    </xdr:to>
    <xdr:sp macro="" textlink="">
      <xdr:nvSpPr>
        <xdr:cNvPr id="10" name="Retângulo: Cantos Arredondados 9" descr="FATURAMENTO TOTAL&#10;">
          <a:extLst>
            <a:ext uri="{FF2B5EF4-FFF2-40B4-BE49-F238E27FC236}">
              <a16:creationId xmlns:a16="http://schemas.microsoft.com/office/drawing/2014/main" id="{DAAB9745-3513-CDF2-1614-F25EDDD6B8CA}"/>
            </a:ext>
          </a:extLst>
        </xdr:cNvPr>
        <xdr:cNvSpPr/>
      </xdr:nvSpPr>
      <xdr:spPr>
        <a:xfrm>
          <a:off x="1138997" y="875661"/>
          <a:ext cx="3412191" cy="974911"/>
        </a:xfrm>
        <a:prstGeom prst="roundRect">
          <a:avLst>
            <a:gd name="adj" fmla="val 12069"/>
          </a:avLst>
        </a:prstGeom>
        <a:gradFill flip="none" rotWithShape="1">
          <a:gsLst>
            <a:gs pos="83000">
              <a:srgbClr val="EE8D5C"/>
            </a:gs>
            <a:gs pos="64000">
              <a:srgbClr val="E97132"/>
            </a:gs>
          </a:gsLst>
          <a:lin ang="13500000" scaled="1"/>
          <a:tileRect/>
        </a:gra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rgbClr val="FFFFFF"/>
              </a:solidFill>
            </a:rPr>
            <a:t>                               FATURAMENTO</a:t>
          </a:r>
          <a:r>
            <a:rPr lang="pt-BR" sz="1400" b="1" baseline="0">
              <a:solidFill>
                <a:srgbClr val="FFFFFF"/>
              </a:solidFill>
            </a:rPr>
            <a:t> TOTAL</a:t>
          </a:r>
          <a:endParaRPr lang="pt-BR" sz="1400" b="1">
            <a:solidFill>
              <a:srgbClr val="FFFFFF"/>
            </a:solidFill>
          </a:endParaRPr>
        </a:p>
      </xdr:txBody>
    </xdr:sp>
    <xdr:clientData/>
  </xdr:twoCellAnchor>
  <xdr:twoCellAnchor>
    <xdr:from>
      <xdr:col>1</xdr:col>
      <xdr:colOff>1523896</xdr:colOff>
      <xdr:row>5</xdr:row>
      <xdr:rowOff>82965</xdr:rowOff>
    </xdr:from>
    <xdr:to>
      <xdr:col>2</xdr:col>
      <xdr:colOff>528175</xdr:colOff>
      <xdr:row>8</xdr:row>
      <xdr:rowOff>4524</xdr:rowOff>
    </xdr:to>
    <xdr:sp macro="" textlink="Indicadores!B2">
      <xdr:nvSpPr>
        <xdr:cNvPr id="11" name="CaixaDeTexto 10">
          <a:extLst>
            <a:ext uri="{FF2B5EF4-FFF2-40B4-BE49-F238E27FC236}">
              <a16:creationId xmlns:a16="http://schemas.microsoft.com/office/drawing/2014/main" id="{0AF6E805-13D5-2737-B0AE-F625314DBBBC}"/>
            </a:ext>
          </a:extLst>
        </xdr:cNvPr>
        <xdr:cNvSpPr txBox="1"/>
      </xdr:nvSpPr>
      <xdr:spPr>
        <a:xfrm>
          <a:off x="2136217" y="1144322"/>
          <a:ext cx="2106708" cy="493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0C0B507-A817-4003-8A3E-9B7A72C6345B}" type="TxLink">
            <a:rPr lang="en-US" sz="2400" b="1" i="0" u="none" strike="noStrike">
              <a:solidFill>
                <a:schemeClr val="bg1"/>
              </a:solidFill>
              <a:latin typeface="Aptos" panose="020B0004020202020204" pitchFamily="34" charset="0"/>
            </a:rPr>
            <a:pPr algn="ctr"/>
            <a:t>R$ 566.725,00</a:t>
          </a:fld>
          <a:endParaRPr lang="pt-BR" sz="24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3</xdr:col>
      <xdr:colOff>785530</xdr:colOff>
      <xdr:row>4</xdr:row>
      <xdr:rowOff>9126</xdr:rowOff>
    </xdr:from>
    <xdr:to>
      <xdr:col>8</xdr:col>
      <xdr:colOff>267338</xdr:colOff>
      <xdr:row>9</xdr:row>
      <xdr:rowOff>31537</xdr:rowOff>
    </xdr:to>
    <xdr:sp macro="" textlink="">
      <xdr:nvSpPr>
        <xdr:cNvPr id="12" name="Retângulo: Cantos Arredondados 11" descr="FATURAMENTO TOTAL&#10;">
          <a:extLst>
            <a:ext uri="{FF2B5EF4-FFF2-40B4-BE49-F238E27FC236}">
              <a16:creationId xmlns:a16="http://schemas.microsoft.com/office/drawing/2014/main" id="{CE43415F-E182-4D11-A57A-9B4637614986}"/>
            </a:ext>
          </a:extLst>
        </xdr:cNvPr>
        <xdr:cNvSpPr/>
      </xdr:nvSpPr>
      <xdr:spPr>
        <a:xfrm>
          <a:off x="5112601" y="879983"/>
          <a:ext cx="3373451" cy="974911"/>
        </a:xfrm>
        <a:prstGeom prst="roundRect">
          <a:avLst>
            <a:gd name="adj" fmla="val 18966"/>
          </a:avLst>
        </a:prstGeom>
        <a:gradFill flip="none" rotWithShape="1">
          <a:gsLst>
            <a:gs pos="32000">
              <a:srgbClr val="073B70"/>
            </a:gs>
            <a:gs pos="53000">
              <a:srgbClr val="2463A0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400" b="1"/>
            <a:t>TOTAL</a:t>
          </a:r>
          <a:r>
            <a:rPr lang="pt-BR" sz="1400" b="1" baseline="0"/>
            <a:t> DE PEDIDOS</a:t>
          </a:r>
          <a:endParaRPr lang="pt-BR" sz="1400" b="1"/>
        </a:p>
      </xdr:txBody>
    </xdr:sp>
    <xdr:clientData/>
  </xdr:twoCellAnchor>
  <xdr:twoCellAnchor>
    <xdr:from>
      <xdr:col>4</xdr:col>
      <xdr:colOff>506165</xdr:colOff>
      <xdr:row>5</xdr:row>
      <xdr:rowOff>133466</xdr:rowOff>
    </xdr:from>
    <xdr:to>
      <xdr:col>5</xdr:col>
      <xdr:colOff>665324</xdr:colOff>
      <xdr:row>8</xdr:row>
      <xdr:rowOff>37098</xdr:rowOff>
    </xdr:to>
    <xdr:sp macro="" textlink="Indicadores!B3">
      <xdr:nvSpPr>
        <xdr:cNvPr id="13" name="CaixaDeTexto 12">
          <a:extLst>
            <a:ext uri="{FF2B5EF4-FFF2-40B4-BE49-F238E27FC236}">
              <a16:creationId xmlns:a16="http://schemas.microsoft.com/office/drawing/2014/main" id="{E317A9D0-E8B2-47B5-ADF2-638006A02057}"/>
            </a:ext>
          </a:extLst>
        </xdr:cNvPr>
        <xdr:cNvSpPr txBox="1"/>
      </xdr:nvSpPr>
      <xdr:spPr>
        <a:xfrm>
          <a:off x="6003451" y="1194823"/>
          <a:ext cx="771480" cy="475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7F01EFE-244D-4A45-8E4B-C3EA8535F2C6}" type="TxLink">
            <a:rPr lang="en-US" sz="2400" b="1" i="0" u="none" strike="noStrike">
              <a:solidFill>
                <a:schemeClr val="bg1"/>
              </a:solidFill>
              <a:latin typeface="Aptos" panose="020B0004020202020204" pitchFamily="34" charset="0"/>
            </a:rPr>
            <a:pPr algn="l"/>
            <a:t>300</a:t>
          </a:fld>
          <a:endParaRPr lang="pt-BR" sz="2400" b="1">
            <a:solidFill>
              <a:schemeClr val="bg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9</xdr:col>
      <xdr:colOff>218353</xdr:colOff>
      <xdr:row>4</xdr:row>
      <xdr:rowOff>22253</xdr:rowOff>
    </xdr:from>
    <xdr:to>
      <xdr:col>14</xdr:col>
      <xdr:colOff>315204</xdr:colOff>
      <xdr:row>9</xdr:row>
      <xdr:rowOff>44664</xdr:rowOff>
    </xdr:to>
    <xdr:sp macro="" textlink="">
      <xdr:nvSpPr>
        <xdr:cNvPr id="14" name="Retângulo: Cantos Arredondados 13" descr="FATURAMENTO TOTAL&#10;">
          <a:extLst>
            <a:ext uri="{FF2B5EF4-FFF2-40B4-BE49-F238E27FC236}">
              <a16:creationId xmlns:a16="http://schemas.microsoft.com/office/drawing/2014/main" id="{6F164B5D-C341-4E92-B9F0-7FA5BD4A1F72}"/>
            </a:ext>
          </a:extLst>
        </xdr:cNvPr>
        <xdr:cNvSpPr/>
      </xdr:nvSpPr>
      <xdr:spPr>
        <a:xfrm>
          <a:off x="9049389" y="893110"/>
          <a:ext cx="3158458" cy="974911"/>
        </a:xfrm>
        <a:prstGeom prst="roundRect">
          <a:avLst>
            <a:gd name="adj" fmla="val 23564"/>
          </a:avLst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1">
              <a:solidFill>
                <a:schemeClr val="accent1"/>
              </a:solidFill>
            </a:rPr>
            <a:t>                            TICKET MÉDIO</a:t>
          </a:r>
        </a:p>
      </xdr:txBody>
    </xdr:sp>
    <xdr:clientData/>
  </xdr:twoCellAnchor>
  <xdr:twoCellAnchor>
    <xdr:from>
      <xdr:col>10</xdr:col>
      <xdr:colOff>565897</xdr:colOff>
      <xdr:row>5</xdr:row>
      <xdr:rowOff>186129</xdr:rowOff>
    </xdr:from>
    <xdr:to>
      <xdr:col>14</xdr:col>
      <xdr:colOff>172822</xdr:colOff>
      <xdr:row>7</xdr:row>
      <xdr:rowOff>118894</xdr:rowOff>
    </xdr:to>
    <xdr:sp macro="" textlink="Indicadores!B4">
      <xdr:nvSpPr>
        <xdr:cNvPr id="15" name="CaixaDeTexto 14">
          <a:extLst>
            <a:ext uri="{FF2B5EF4-FFF2-40B4-BE49-F238E27FC236}">
              <a16:creationId xmlns:a16="http://schemas.microsoft.com/office/drawing/2014/main" id="{738CDFF1-4119-460B-AD80-51FCBD6FC7DF}"/>
            </a:ext>
          </a:extLst>
        </xdr:cNvPr>
        <xdr:cNvSpPr txBox="1"/>
      </xdr:nvSpPr>
      <xdr:spPr>
        <a:xfrm>
          <a:off x="10009254" y="1247486"/>
          <a:ext cx="2056211" cy="3137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FC6092E-4389-4028-8BAB-1B77BF7DA0F7}" type="TxLink">
            <a:rPr lang="en-US" sz="2400" b="1" i="0" u="none" strike="noStrike">
              <a:solidFill>
                <a:schemeClr val="accent1"/>
              </a:solidFill>
              <a:latin typeface="Aptos" panose="020B0004020202020204" pitchFamily="34" charset="0"/>
            </a:rPr>
            <a:pPr algn="l"/>
            <a:t>R$ 1.889,08</a:t>
          </a:fld>
          <a:endParaRPr lang="pt-BR" sz="2400" b="1">
            <a:solidFill>
              <a:schemeClr val="accent1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1</xdr:col>
      <xdr:colOff>22411</xdr:colOff>
      <xdr:row>25</xdr:row>
      <xdr:rowOff>112059</xdr:rowOff>
    </xdr:from>
    <xdr:to>
      <xdr:col>15</xdr:col>
      <xdr:colOff>217715</xdr:colOff>
      <xdr:row>28</xdr:row>
      <xdr:rowOff>57150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B19CD2B-2CEA-4197-375F-A1B3072146F3}"/>
            </a:ext>
          </a:extLst>
        </xdr:cNvPr>
        <xdr:cNvSpPr/>
      </xdr:nvSpPr>
      <xdr:spPr>
        <a:xfrm>
          <a:off x="634732" y="4983416"/>
          <a:ext cx="12087947" cy="571020"/>
        </a:xfrm>
        <a:prstGeom prst="roundRect">
          <a:avLst/>
        </a:prstGeom>
        <a:gradFill flip="none" rotWithShape="1">
          <a:gsLst>
            <a:gs pos="55000">
              <a:schemeClr val="tx2">
                <a:lumMod val="75000"/>
                <a:lumOff val="25000"/>
                <a:shade val="30000"/>
                <a:satMod val="115000"/>
              </a:schemeClr>
            </a:gs>
            <a:gs pos="32000">
              <a:schemeClr val="tx2">
                <a:lumMod val="75000"/>
                <a:lumOff val="25000"/>
                <a:shade val="100000"/>
                <a:satMod val="115000"/>
              </a:schemeClr>
            </a:gs>
          </a:gsLst>
          <a:lin ang="135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472887</xdr:colOff>
      <xdr:row>25</xdr:row>
      <xdr:rowOff>182093</xdr:rowOff>
    </xdr:from>
    <xdr:to>
      <xdr:col>1</xdr:col>
      <xdr:colOff>2828925</xdr:colOff>
      <xdr:row>27</xdr:row>
      <xdr:rowOff>171449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8B03849-BD31-0B04-F2EA-3BD8F13F44DE}"/>
            </a:ext>
          </a:extLst>
        </xdr:cNvPr>
        <xdr:cNvSpPr txBox="1"/>
      </xdr:nvSpPr>
      <xdr:spPr>
        <a:xfrm>
          <a:off x="1082487" y="5058893"/>
          <a:ext cx="2356038" cy="417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 b="1">
              <a:solidFill>
                <a:schemeClr val="bg1"/>
              </a:solidFill>
              <a:latin typeface="Aptos" panose="020B0004020202020204" pitchFamily="34" charset="0"/>
            </a:rPr>
            <a:t>INSIGHTS DA ANÁLISE</a:t>
          </a:r>
        </a:p>
      </xdr:txBody>
    </xdr:sp>
    <xdr:clientData/>
  </xdr:twoCellAnchor>
  <xdr:twoCellAnchor>
    <xdr:from>
      <xdr:col>1</xdr:col>
      <xdr:colOff>17931</xdr:colOff>
      <xdr:row>25</xdr:row>
      <xdr:rowOff>111673</xdr:rowOff>
    </xdr:from>
    <xdr:to>
      <xdr:col>1</xdr:col>
      <xdr:colOff>558363</xdr:colOff>
      <xdr:row>28</xdr:row>
      <xdr:rowOff>57149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3B179651-F1ED-4AA8-975A-1B216B8E3304}"/>
            </a:ext>
          </a:extLst>
        </xdr:cNvPr>
        <xdr:cNvSpPr/>
      </xdr:nvSpPr>
      <xdr:spPr>
        <a:xfrm>
          <a:off x="627531" y="4988473"/>
          <a:ext cx="540432" cy="564601"/>
        </a:xfrm>
        <a:prstGeom prst="roundRect">
          <a:avLst>
            <a:gd name="adj" fmla="val 13570"/>
          </a:avLst>
        </a:prstGeom>
        <a:gradFill>
          <a:gsLst>
            <a:gs pos="81000">
              <a:srgbClr val="E75E19"/>
            </a:gs>
            <a:gs pos="32000">
              <a:srgbClr val="FF9900"/>
            </a:gs>
          </a:gsLst>
          <a:lin ang="135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105256</xdr:colOff>
      <xdr:row>26</xdr:row>
      <xdr:rowOff>26264</xdr:rowOff>
    </xdr:from>
    <xdr:to>
      <xdr:col>1</xdr:col>
      <xdr:colOff>457200</xdr:colOff>
      <xdr:row>27</xdr:row>
      <xdr:rowOff>119592</xdr:rowOff>
    </xdr:to>
    <xdr:pic>
      <xdr:nvPicPr>
        <xdr:cNvPr id="22" name="Gráfico 21" descr="Lâmpada com preenchimento sólido">
          <a:extLst>
            <a:ext uri="{FF2B5EF4-FFF2-40B4-BE49-F238E27FC236}">
              <a16:creationId xmlns:a16="http://schemas.microsoft.com/office/drawing/2014/main" id="{BAB62B82-9BA3-49DA-A4D4-62D766960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14856" y="5093564"/>
          <a:ext cx="351944" cy="33145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10887</xdr:rowOff>
    </xdr:from>
    <xdr:to>
      <xdr:col>15</xdr:col>
      <xdr:colOff>256774</xdr:colOff>
      <xdr:row>35</xdr:row>
      <xdr:rowOff>42183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9B7A61E3-B022-7418-D385-35C23B3F720E}"/>
            </a:ext>
          </a:extLst>
        </xdr:cNvPr>
        <xdr:cNvSpPr/>
      </xdr:nvSpPr>
      <xdr:spPr>
        <a:xfrm>
          <a:off x="619125" y="5506812"/>
          <a:ext cx="12115399" cy="1364796"/>
        </a:xfrm>
        <a:prstGeom prst="roundRect">
          <a:avLst>
            <a:gd name="adj" fmla="val 8170"/>
          </a:avLst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76760</xdr:colOff>
      <xdr:row>28</xdr:row>
      <xdr:rowOff>136711</xdr:rowOff>
    </xdr:from>
    <xdr:to>
      <xdr:col>15</xdr:col>
      <xdr:colOff>118783</xdr:colOff>
      <xdr:row>34</xdr:row>
      <xdr:rowOff>79561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B7D7FA65-B955-4F3C-8FDB-76DD20FB1EF0}"/>
            </a:ext>
          </a:extLst>
        </xdr:cNvPr>
        <xdr:cNvSpPr/>
      </xdr:nvSpPr>
      <xdr:spPr>
        <a:xfrm>
          <a:off x="9506510" y="5632636"/>
          <a:ext cx="3090023" cy="108585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471767</xdr:colOff>
      <xdr:row>29</xdr:row>
      <xdr:rowOff>18490</xdr:rowOff>
    </xdr:from>
    <xdr:to>
      <xdr:col>15</xdr:col>
      <xdr:colOff>201705</xdr:colOff>
      <xdr:row>34</xdr:row>
      <xdr:rowOff>47516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644543B0-1C06-4D7A-878B-40681403BC47}"/>
            </a:ext>
          </a:extLst>
        </xdr:cNvPr>
        <xdr:cNvSpPr txBox="1"/>
      </xdr:nvSpPr>
      <xdr:spPr>
        <a:xfrm>
          <a:off x="10478620" y="5699872"/>
          <a:ext cx="2150409" cy="98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Ticket médio</a:t>
          </a:r>
          <a:endParaRPr lang="pt-BR" sz="1100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Os 300 pedidos analisados geraram um faturamento médio de R$ 1.889,08 por pedido.</a:t>
          </a:r>
          <a:endParaRPr lang="pt-BR" b="1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 editAs="oneCell">
    <xdr:from>
      <xdr:col>10</xdr:col>
      <xdr:colOff>397251</xdr:colOff>
      <xdr:row>30</xdr:row>
      <xdr:rowOff>36420</xdr:rowOff>
    </xdr:from>
    <xdr:to>
      <xdr:col>11</xdr:col>
      <xdr:colOff>219651</xdr:colOff>
      <xdr:row>32</xdr:row>
      <xdr:rowOff>87420</xdr:rowOff>
    </xdr:to>
    <xdr:pic>
      <xdr:nvPicPr>
        <xdr:cNvPr id="45" name="Gráfico 44" descr="Carrinho de compras com preenchimento sólido">
          <a:extLst>
            <a:ext uri="{FF2B5EF4-FFF2-40B4-BE49-F238E27FC236}">
              <a16:creationId xmlns:a16="http://schemas.microsoft.com/office/drawing/2014/main" id="{7A84048C-8D60-4A79-A26C-9E8B217E9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827001" y="5913345"/>
          <a:ext cx="432000" cy="432000"/>
        </a:xfrm>
        <a:prstGeom prst="rect">
          <a:avLst/>
        </a:prstGeom>
      </xdr:spPr>
    </xdr:pic>
    <xdr:clientData/>
  </xdr:twoCellAnchor>
  <xdr:twoCellAnchor>
    <xdr:from>
      <xdr:col>11</xdr:col>
      <xdr:colOff>342900</xdr:colOff>
      <xdr:row>30</xdr:row>
      <xdr:rowOff>33618</xdr:rowOff>
    </xdr:from>
    <xdr:to>
      <xdr:col>11</xdr:col>
      <xdr:colOff>342900</xdr:colOff>
      <xdr:row>32</xdr:row>
      <xdr:rowOff>84618</xdr:rowOff>
    </xdr:to>
    <xdr:cxnSp macro="">
      <xdr:nvCxnSpPr>
        <xdr:cNvPr id="49" name="Conector reto 48">
          <a:extLst>
            <a:ext uri="{FF2B5EF4-FFF2-40B4-BE49-F238E27FC236}">
              <a16:creationId xmlns:a16="http://schemas.microsoft.com/office/drawing/2014/main" id="{EC9FFD8B-6E5B-4A01-9DA3-93BA841505B3}"/>
            </a:ext>
          </a:extLst>
        </xdr:cNvPr>
        <xdr:cNvCxnSpPr/>
      </xdr:nvCxnSpPr>
      <xdr:spPr>
        <a:xfrm>
          <a:off x="10382250" y="5910543"/>
          <a:ext cx="0" cy="4320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540124</xdr:colOff>
      <xdr:row>32</xdr:row>
      <xdr:rowOff>189380</xdr:rowOff>
    </xdr:from>
    <xdr:to>
      <xdr:col>10</xdr:col>
      <xdr:colOff>431807</xdr:colOff>
      <xdr:row>35</xdr:row>
      <xdr:rowOff>114680</xdr:rowOff>
    </xdr:to>
    <xdr:pic>
      <xdr:nvPicPr>
        <xdr:cNvPr id="56" name="Gráfico 55" descr="Selo 3 com preenchimento sólido">
          <a:extLst>
            <a:ext uri="{FF2B5EF4-FFF2-40B4-BE49-F238E27FC236}">
              <a16:creationId xmlns:a16="http://schemas.microsoft.com/office/drawing/2014/main" id="{13BF6BD6-BD86-6629-B0B8-571FB27F0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360274" y="6447305"/>
          <a:ext cx="501283" cy="496800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36</xdr:row>
      <xdr:rowOff>47625</xdr:rowOff>
    </xdr:from>
    <xdr:to>
      <xdr:col>9</xdr:col>
      <xdr:colOff>276225</xdr:colOff>
      <xdr:row>37</xdr:row>
      <xdr:rowOff>104775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AC8F258E-1F94-6156-CC48-5A74A3B8BD9F}"/>
            </a:ext>
          </a:extLst>
        </xdr:cNvPr>
        <xdr:cNvSpPr txBox="1"/>
      </xdr:nvSpPr>
      <xdr:spPr>
        <a:xfrm>
          <a:off x="571500" y="7067550"/>
          <a:ext cx="852487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tx2"/>
              </a:solidFill>
            </a:rPr>
            <a:t>Fonte</a:t>
          </a:r>
          <a:r>
            <a:rPr lang="pt-BR" sz="1100">
              <a:solidFill>
                <a:schemeClr val="tx2"/>
              </a:solidFill>
            </a:rPr>
            <a:t>: Dados fictícios de vendas | Projeto educacional de Análise de Dados — 2025</a:t>
          </a:r>
        </a:p>
      </xdr:txBody>
    </xdr:sp>
    <xdr:clientData/>
  </xdr:twoCellAnchor>
  <xdr:twoCellAnchor>
    <xdr:from>
      <xdr:col>3</xdr:col>
      <xdr:colOff>614080</xdr:colOff>
      <xdr:row>28</xdr:row>
      <xdr:rowOff>147919</xdr:rowOff>
    </xdr:from>
    <xdr:to>
      <xdr:col>8</xdr:col>
      <xdr:colOff>81326</xdr:colOff>
      <xdr:row>34</xdr:row>
      <xdr:rowOff>145073</xdr:rowOff>
    </xdr:to>
    <xdr:sp macro="" textlink="">
      <xdr:nvSpPr>
        <xdr:cNvPr id="61" name="Retângulo: Cantos Arredondados 60">
          <a:extLst>
            <a:ext uri="{FF2B5EF4-FFF2-40B4-BE49-F238E27FC236}">
              <a16:creationId xmlns:a16="http://schemas.microsoft.com/office/drawing/2014/main" id="{D776CD47-E12C-4828-A1DD-2FE43459B7BC}"/>
            </a:ext>
          </a:extLst>
        </xdr:cNvPr>
        <xdr:cNvSpPr/>
      </xdr:nvSpPr>
      <xdr:spPr>
        <a:xfrm flipH="1">
          <a:off x="4938430" y="5643844"/>
          <a:ext cx="3353446" cy="1140154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410695</xdr:colOff>
      <xdr:row>29</xdr:row>
      <xdr:rowOff>35860</xdr:rowOff>
    </xdr:from>
    <xdr:to>
      <xdr:col>7</xdr:col>
      <xdr:colOff>461748</xdr:colOff>
      <xdr:row>34</xdr:row>
      <xdr:rowOff>55360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61B59B89-C8D7-4FFC-A727-AF72758031D4}"/>
            </a:ext>
          </a:extLst>
        </xdr:cNvPr>
        <xdr:cNvSpPr txBox="1"/>
      </xdr:nvSpPr>
      <xdr:spPr>
        <a:xfrm>
          <a:off x="5906620" y="5722285"/>
          <a:ext cx="2156078" cy="97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Aptos" panose="020B0004020202020204" pitchFamily="34" charset="0"/>
              <a:ea typeface="+mn-ea"/>
              <a:cs typeface="+mn-cs"/>
            </a:rPr>
            <a:t>Desempenho regional</a:t>
          </a:r>
          <a:endParaRPr lang="pt-BR" sz="1100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l"/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O Sudeste apresentou o maior faturamento, com R$ 132.175,00, representando 23,3% da receita total.</a:t>
          </a:r>
          <a:endParaRPr lang="pt-BR" b="1">
            <a:solidFill>
              <a:schemeClr val="tx2">
                <a:lumMod val="75000"/>
                <a:lumOff val="25000"/>
              </a:schemeClr>
            </a:solidFill>
            <a:effectLst/>
          </a:endParaRPr>
        </a:p>
      </xdr:txBody>
    </xdr:sp>
    <xdr:clientData/>
  </xdr:twoCellAnchor>
  <xdr:twoCellAnchor>
    <xdr:from>
      <xdr:col>4</xdr:col>
      <xdr:colOff>73959</xdr:colOff>
      <xdr:row>30</xdr:row>
      <xdr:rowOff>56029</xdr:rowOff>
    </xdr:from>
    <xdr:to>
      <xdr:col>4</xdr:col>
      <xdr:colOff>73959</xdr:colOff>
      <xdr:row>32</xdr:row>
      <xdr:rowOff>107029</xdr:rowOff>
    </xdr:to>
    <xdr:cxnSp macro="">
      <xdr:nvCxnSpPr>
        <xdr:cNvPr id="63" name="Conector reto 62">
          <a:extLst>
            <a:ext uri="{FF2B5EF4-FFF2-40B4-BE49-F238E27FC236}">
              <a16:creationId xmlns:a16="http://schemas.microsoft.com/office/drawing/2014/main" id="{CE22D96D-1E81-4B0B-9111-F515AE04BCDB}"/>
            </a:ext>
          </a:extLst>
        </xdr:cNvPr>
        <xdr:cNvCxnSpPr/>
      </xdr:nvCxnSpPr>
      <xdr:spPr>
        <a:xfrm>
          <a:off x="5569884" y="5932954"/>
          <a:ext cx="0" cy="4320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762001</xdr:colOff>
      <xdr:row>30</xdr:row>
      <xdr:rowOff>78442</xdr:rowOff>
    </xdr:from>
    <xdr:to>
      <xdr:col>4</xdr:col>
      <xdr:colOff>23891</xdr:colOff>
      <xdr:row>32</xdr:row>
      <xdr:rowOff>129442</xdr:rowOff>
    </xdr:to>
    <xdr:pic>
      <xdr:nvPicPr>
        <xdr:cNvPr id="65" name="Gráfico 64" descr="Marcador com preenchimento sólido">
          <a:extLst>
            <a:ext uri="{FF2B5EF4-FFF2-40B4-BE49-F238E27FC236}">
              <a16:creationId xmlns:a16="http://schemas.microsoft.com/office/drawing/2014/main" id="{9A4F7440-A0A0-467B-A71D-DEA41088F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086351" y="5955367"/>
          <a:ext cx="433465" cy="43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428065</xdr:colOff>
      <xdr:row>33</xdr:row>
      <xdr:rowOff>10085</xdr:rowOff>
    </xdr:from>
    <xdr:to>
      <xdr:col>3</xdr:col>
      <xdr:colOff>923744</xdr:colOff>
      <xdr:row>35</xdr:row>
      <xdr:rowOff>125885</xdr:rowOff>
    </xdr:to>
    <xdr:pic>
      <xdr:nvPicPr>
        <xdr:cNvPr id="66" name="Gráfico 65" descr="Crachá com preenchimento sólido">
          <a:extLst>
            <a:ext uri="{FF2B5EF4-FFF2-40B4-BE49-F238E27FC236}">
              <a16:creationId xmlns:a16="http://schemas.microsoft.com/office/drawing/2014/main" id="{6F0F381F-D1E2-491A-99EC-B18A6D45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752415" y="6458510"/>
          <a:ext cx="495679" cy="496800"/>
        </a:xfrm>
        <a:prstGeom prst="rect">
          <a:avLst/>
        </a:prstGeom>
      </xdr:spPr>
    </xdr:pic>
    <xdr:clientData/>
  </xdr:twoCellAnchor>
  <xdr:twoCellAnchor>
    <xdr:from>
      <xdr:col>1</xdr:col>
      <xdr:colOff>233081</xdr:colOff>
      <xdr:row>28</xdr:row>
      <xdr:rowOff>156323</xdr:rowOff>
    </xdr:from>
    <xdr:to>
      <xdr:col>2</xdr:col>
      <xdr:colOff>200024</xdr:colOff>
      <xdr:row>34</xdr:row>
      <xdr:rowOff>99173</xdr:rowOff>
    </xdr:to>
    <xdr:sp macro="" textlink="">
      <xdr:nvSpPr>
        <xdr:cNvPr id="69" name="Retângulo: Cantos Arredondados 68">
          <a:extLst>
            <a:ext uri="{FF2B5EF4-FFF2-40B4-BE49-F238E27FC236}">
              <a16:creationId xmlns:a16="http://schemas.microsoft.com/office/drawing/2014/main" id="{85710AD9-07EF-4008-9BE3-95B553DA4447}"/>
            </a:ext>
          </a:extLst>
        </xdr:cNvPr>
        <xdr:cNvSpPr/>
      </xdr:nvSpPr>
      <xdr:spPr>
        <a:xfrm>
          <a:off x="842681" y="5652248"/>
          <a:ext cx="3072093" cy="1085850"/>
        </a:xfrm>
        <a:prstGeom prst="roundRect">
          <a:avLst/>
        </a:prstGeom>
        <a:solidFill>
          <a:schemeClr val="bg1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889186</xdr:colOff>
      <xdr:row>30</xdr:row>
      <xdr:rowOff>42021</xdr:rowOff>
    </xdr:from>
    <xdr:to>
      <xdr:col>1</xdr:col>
      <xdr:colOff>889186</xdr:colOff>
      <xdr:row>32</xdr:row>
      <xdr:rowOff>93021</xdr:rowOff>
    </xdr:to>
    <xdr:cxnSp macro="">
      <xdr:nvCxnSpPr>
        <xdr:cNvPr id="70" name="Conector reto 69">
          <a:extLst>
            <a:ext uri="{FF2B5EF4-FFF2-40B4-BE49-F238E27FC236}">
              <a16:creationId xmlns:a16="http://schemas.microsoft.com/office/drawing/2014/main" id="{245DDFAB-B4B4-47F8-A8B7-EBDCBFF503EF}"/>
            </a:ext>
          </a:extLst>
        </xdr:cNvPr>
        <xdr:cNvCxnSpPr/>
      </xdr:nvCxnSpPr>
      <xdr:spPr>
        <a:xfrm>
          <a:off x="1498786" y="5918946"/>
          <a:ext cx="0" cy="432000"/>
        </a:xfrm>
        <a:prstGeom prst="line">
          <a:avLst/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401731</xdr:colOff>
      <xdr:row>30</xdr:row>
      <xdr:rowOff>36979</xdr:rowOff>
    </xdr:from>
    <xdr:to>
      <xdr:col>1</xdr:col>
      <xdr:colOff>833731</xdr:colOff>
      <xdr:row>32</xdr:row>
      <xdr:rowOff>87979</xdr:rowOff>
    </xdr:to>
    <xdr:pic>
      <xdr:nvPicPr>
        <xdr:cNvPr id="71" name="Gráfico 70" descr="Sinal com preenchimento sólido">
          <a:extLst>
            <a:ext uri="{FF2B5EF4-FFF2-40B4-BE49-F238E27FC236}">
              <a16:creationId xmlns:a16="http://schemas.microsoft.com/office/drawing/2014/main" id="{DAB8A3D2-6DB8-4080-9E55-547247336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11331" y="5913904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35859</xdr:colOff>
      <xdr:row>32</xdr:row>
      <xdr:rowOff>184897</xdr:rowOff>
    </xdr:from>
    <xdr:to>
      <xdr:col>1</xdr:col>
      <xdr:colOff>531159</xdr:colOff>
      <xdr:row>35</xdr:row>
      <xdr:rowOff>108697</xdr:rowOff>
    </xdr:to>
    <xdr:pic>
      <xdr:nvPicPr>
        <xdr:cNvPr id="72" name="Gráfico 71" descr="Selo 1 com preenchimento sólido">
          <a:extLst>
            <a:ext uri="{FF2B5EF4-FFF2-40B4-BE49-F238E27FC236}">
              <a16:creationId xmlns:a16="http://schemas.microsoft.com/office/drawing/2014/main" id="{FF69BF83-816C-436C-85A3-CA5CEBC7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45459" y="6442822"/>
          <a:ext cx="495300" cy="495300"/>
        </a:xfrm>
        <a:prstGeom prst="rect">
          <a:avLst/>
        </a:prstGeom>
      </xdr:spPr>
    </xdr:pic>
    <xdr:clientData/>
  </xdr:twoCellAnchor>
  <xdr:twoCellAnchor>
    <xdr:from>
      <xdr:col>1</xdr:col>
      <xdr:colOff>1044150</xdr:colOff>
      <xdr:row>29</xdr:row>
      <xdr:rowOff>24332</xdr:rowOff>
    </xdr:from>
    <xdr:to>
      <xdr:col>2</xdr:col>
      <xdr:colOff>120611</xdr:colOff>
      <xdr:row>34</xdr:row>
      <xdr:rowOff>43832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B55ADA21-FE3B-4D44-9E7C-F58CA84D01B9}"/>
            </a:ext>
          </a:extLst>
        </xdr:cNvPr>
        <xdr:cNvSpPr txBox="1"/>
      </xdr:nvSpPr>
      <xdr:spPr>
        <a:xfrm>
          <a:off x="1653750" y="5710757"/>
          <a:ext cx="2181611" cy="972000"/>
        </a:xfrm>
        <a:prstGeom prst="rect">
          <a:avLst/>
        </a:prstGeom>
        <a:noFill/>
        <a:ln w="9525" cmpd="sng">
          <a:noFill/>
          <a:extLst>
            <a:ext uri="{C807C97D-BFC1-408E-A445-0C87EB9F89A2}">
              <ask:lineSketchStyleProps xmlns:ask="http://schemas.microsoft.com/office/drawing/2018/sketchyshapes" sd="2650216993">
                <a:custGeom>
                  <a:avLst/>
                  <a:gdLst>
                    <a:gd name="csX0" fmla="*/ 0 w 2466975"/>
                    <a:gd name="csY0" fmla="*/ 0 h 1123950"/>
                    <a:gd name="csX1" fmla="*/ 2466975 w 2466975"/>
                    <a:gd name="csY1" fmla="*/ 0 h 1123950"/>
                    <a:gd name="csX2" fmla="*/ 2466975 w 2466975"/>
                    <a:gd name="csY2" fmla="*/ 1123950 h 1123950"/>
                    <a:gd name="csX3" fmla="*/ 0 w 2466975"/>
                    <a:gd name="csY3" fmla="*/ 1123950 h 1123950"/>
                    <a:gd name="csX4" fmla="*/ 0 w 2466975"/>
                    <a:gd name="csY4" fmla="*/ 0 h 1123950"/>
                  </a:gdLst>
                  <a:ahLst/>
                  <a:cxnLst>
                    <a:cxn ang="0">
                      <a:pos x="csX0" y="csY0"/>
                    </a:cxn>
                    <a:cxn ang="0">
                      <a:pos x="csX1" y="csY1"/>
                    </a:cxn>
                    <a:cxn ang="0">
                      <a:pos x="csX2" y="csY2"/>
                    </a:cxn>
                    <a:cxn ang="0">
                      <a:pos x="csX3" y="csY3"/>
                    </a:cxn>
                    <a:cxn ang="0">
                      <a:pos x="csX4" y="csY4"/>
                    </a:cxn>
                  </a:cxnLst>
                  <a:rect l="l" t="t" r="r" b="b"/>
                  <a:pathLst>
                    <a:path w="2466975" h="1123950" extrusionOk="0">
                      <a:moveTo>
                        <a:pt x="0" y="0"/>
                      </a:moveTo>
                      <a:cubicBezTo>
                        <a:pt x="521834" y="-5264"/>
                        <a:pt x="1948122" y="84467"/>
                        <a:pt x="2466975" y="0"/>
                      </a:cubicBezTo>
                      <a:cubicBezTo>
                        <a:pt x="2444977" y="470280"/>
                        <a:pt x="2480091" y="893799"/>
                        <a:pt x="2466975" y="1123950"/>
                      </a:cubicBezTo>
                      <a:cubicBezTo>
                        <a:pt x="2120031" y="1230270"/>
                        <a:pt x="985836" y="1116301"/>
                        <a:pt x="0" y="1123950"/>
                      </a:cubicBezTo>
                      <a:cubicBezTo>
                        <a:pt x="35929" y="941094"/>
                        <a:pt x="63164" y="516677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latin typeface="Aptos" panose="020B0004020202020204" pitchFamily="34" charset="0"/>
            </a:rPr>
            <a:t>Concentração de faturamento</a:t>
          </a:r>
          <a:endParaRPr lang="pt-BR" sz="1100">
            <a:solidFill>
              <a:schemeClr val="tx2">
                <a:lumMod val="75000"/>
                <a:lumOff val="25000"/>
              </a:schemeClr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O Notebook concentra 64,9% do faturamento total, indicando forte dependência desse produto na composição da receita.</a:t>
          </a:r>
          <a:endParaRPr lang="pt-BR" sz="1100" b="1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>
    <xdr:from>
      <xdr:col>0</xdr:col>
      <xdr:colOff>548526</xdr:colOff>
      <xdr:row>0</xdr:row>
      <xdr:rowOff>114301</xdr:rowOff>
    </xdr:from>
    <xdr:to>
      <xdr:col>15</xdr:col>
      <xdr:colOff>204107</xdr:colOff>
      <xdr:row>3</xdr:row>
      <xdr:rowOff>95251</xdr:rowOff>
    </xdr:to>
    <xdr:sp macro="" textlink="">
      <xdr:nvSpPr>
        <xdr:cNvPr id="5" name="Retângulo: Cantos Arredondados 4" descr="FATURAMENTO TOTAL&#10;">
          <a:extLst>
            <a:ext uri="{FF2B5EF4-FFF2-40B4-BE49-F238E27FC236}">
              <a16:creationId xmlns:a16="http://schemas.microsoft.com/office/drawing/2014/main" id="{CA3D314B-353D-421D-87AD-162DDC7385BF}"/>
            </a:ext>
          </a:extLst>
        </xdr:cNvPr>
        <xdr:cNvSpPr/>
      </xdr:nvSpPr>
      <xdr:spPr>
        <a:xfrm>
          <a:off x="548526" y="114301"/>
          <a:ext cx="12082905" cy="664509"/>
        </a:xfrm>
        <a:prstGeom prst="roundRect">
          <a:avLst>
            <a:gd name="adj" fmla="val 18966"/>
          </a:avLst>
        </a:prstGeom>
        <a:gradFill flip="none" rotWithShape="1">
          <a:gsLst>
            <a:gs pos="53000">
              <a:srgbClr val="2463A0"/>
            </a:gs>
            <a:gs pos="27000">
              <a:srgbClr val="073B70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400" b="1">
              <a:solidFill>
                <a:schemeClr val="bg2"/>
              </a:solidFill>
            </a:rPr>
            <a:t>    DASHBOARD DE VENDAS | </a:t>
          </a:r>
          <a:r>
            <a:rPr lang="pt-BR" sz="2400" b="1">
              <a:solidFill>
                <a:srgbClr val="EB783F"/>
              </a:solidFill>
            </a:rPr>
            <a:t>2025</a:t>
          </a:r>
        </a:p>
      </xdr:txBody>
    </xdr:sp>
    <xdr:clientData/>
  </xdr:twoCellAnchor>
  <xdr:twoCellAnchor>
    <xdr:from>
      <xdr:col>1</xdr:col>
      <xdr:colOff>142529</xdr:colOff>
      <xdr:row>1</xdr:row>
      <xdr:rowOff>37409</xdr:rowOff>
    </xdr:from>
    <xdr:to>
      <xdr:col>1</xdr:col>
      <xdr:colOff>142529</xdr:colOff>
      <xdr:row>2</xdr:row>
      <xdr:rowOff>164609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52C1698A-33B3-4191-BC8D-4D178A06AACF}"/>
            </a:ext>
          </a:extLst>
        </xdr:cNvPr>
        <xdr:cNvCxnSpPr/>
      </xdr:nvCxnSpPr>
      <xdr:spPr>
        <a:xfrm>
          <a:off x="747647" y="227909"/>
          <a:ext cx="0" cy="429759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45782</xdr:colOff>
      <xdr:row>1</xdr:row>
      <xdr:rowOff>114414</xdr:rowOff>
    </xdr:from>
    <xdr:to>
      <xdr:col>8</xdr:col>
      <xdr:colOff>146282</xdr:colOff>
      <xdr:row>2</xdr:row>
      <xdr:rowOff>99855</xdr:rowOff>
    </xdr:to>
    <xdr:sp macro="" textlink="">
      <xdr:nvSpPr>
        <xdr:cNvPr id="26" name="Onda 25">
          <a:extLst>
            <a:ext uri="{FF2B5EF4-FFF2-40B4-BE49-F238E27FC236}">
              <a16:creationId xmlns:a16="http://schemas.microsoft.com/office/drawing/2014/main" id="{BD97A5FB-A775-83F6-C2E1-B022D5004A2B}"/>
            </a:ext>
          </a:extLst>
        </xdr:cNvPr>
        <xdr:cNvSpPr>
          <a:spLocks/>
        </xdr:cNvSpPr>
      </xdr:nvSpPr>
      <xdr:spPr>
        <a:xfrm rot="20264072" flipH="1" flipV="1">
          <a:off x="6141782" y="304914"/>
          <a:ext cx="2196000" cy="288000"/>
        </a:xfrm>
        <a:prstGeom prst="wave">
          <a:avLst>
            <a:gd name="adj1" fmla="val 20000"/>
            <a:gd name="adj2" fmla="val 10000"/>
          </a:avLst>
        </a:prstGeom>
        <a:gradFill flip="none" rotWithShape="1">
          <a:gsLst>
            <a:gs pos="38000">
              <a:srgbClr val="EE8D5C"/>
            </a:gs>
            <a:gs pos="54000">
              <a:schemeClr val="accent2"/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235324</xdr:colOff>
      <xdr:row>1</xdr:row>
      <xdr:rowOff>280147</xdr:rowOff>
    </xdr:from>
    <xdr:to>
      <xdr:col>3</xdr:col>
      <xdr:colOff>364992</xdr:colOff>
      <xdr:row>3</xdr:row>
      <xdr:rowOff>31376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585FE11-B4BF-4109-AA66-0213B48E469B}"/>
            </a:ext>
          </a:extLst>
        </xdr:cNvPr>
        <xdr:cNvSpPr txBox="1"/>
      </xdr:nvSpPr>
      <xdr:spPr>
        <a:xfrm>
          <a:off x="840442" y="470647"/>
          <a:ext cx="3838815" cy="244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2"/>
              </a:solidFill>
              <a:latin typeface="Aptos" panose="020B0004020202020204" pitchFamily="34" charset="0"/>
            </a:rPr>
            <a:t>Análise</a:t>
          </a:r>
          <a:r>
            <a:rPr lang="pt-BR" sz="1200" baseline="0">
              <a:solidFill>
                <a:schemeClr val="bg2"/>
              </a:solidFill>
              <a:latin typeface="Aptos" panose="020B0004020202020204" pitchFamily="34" charset="0"/>
            </a:rPr>
            <a:t> do desempenho comercial por prosuto e região</a:t>
          </a:r>
          <a:endParaRPr lang="pt-BR" sz="1200">
            <a:solidFill>
              <a:schemeClr val="bg2"/>
            </a:solidFill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1</xdr:col>
      <xdr:colOff>666749</xdr:colOff>
      <xdr:row>4</xdr:row>
      <xdr:rowOff>116862</xdr:rowOff>
    </xdr:from>
    <xdr:to>
      <xdr:col>1</xdr:col>
      <xdr:colOff>1386749</xdr:colOff>
      <xdr:row>8</xdr:row>
      <xdr:rowOff>74862</xdr:rowOff>
    </xdr:to>
    <xdr:pic>
      <xdr:nvPicPr>
        <xdr:cNvPr id="31" name="Gráfico 30" descr="Bolas de Harvey 100% com preenchimento sólido">
          <a:extLst>
            <a:ext uri="{FF2B5EF4-FFF2-40B4-BE49-F238E27FC236}">
              <a16:creationId xmlns:a16="http://schemas.microsoft.com/office/drawing/2014/main" id="{0533ED2A-FB20-8E7B-CAB5-ACD47CCB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279070" y="987719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849565</xdr:colOff>
      <xdr:row>5</xdr:row>
      <xdr:rowOff>96691</xdr:rowOff>
    </xdr:from>
    <xdr:to>
      <xdr:col>1</xdr:col>
      <xdr:colOff>1209565</xdr:colOff>
      <xdr:row>7</xdr:row>
      <xdr:rowOff>75691</xdr:rowOff>
    </xdr:to>
    <xdr:pic>
      <xdr:nvPicPr>
        <xdr:cNvPr id="33" name="Gráfico 32" descr="Sinal com preenchimento sólido">
          <a:extLst>
            <a:ext uri="{FF2B5EF4-FFF2-40B4-BE49-F238E27FC236}">
              <a16:creationId xmlns:a16="http://schemas.microsoft.com/office/drawing/2014/main" id="{F0012B5E-4344-4AC0-9CE7-2DF7C466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461886" y="115804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928808</xdr:colOff>
      <xdr:row>4</xdr:row>
      <xdr:rowOff>137193</xdr:rowOff>
    </xdr:from>
    <xdr:to>
      <xdr:col>4</xdr:col>
      <xdr:colOff>485796</xdr:colOff>
      <xdr:row>8</xdr:row>
      <xdr:rowOff>95193</xdr:rowOff>
    </xdr:to>
    <xdr:pic>
      <xdr:nvPicPr>
        <xdr:cNvPr id="34" name="Gráfico 33" descr="Bolas de Harvey 100% com preenchimento sólido">
          <a:extLst>
            <a:ext uri="{FF2B5EF4-FFF2-40B4-BE49-F238E27FC236}">
              <a16:creationId xmlns:a16="http://schemas.microsoft.com/office/drawing/2014/main" id="{31188632-781F-417D-9EAB-F5E560BAD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255879" y="1008050"/>
          <a:ext cx="727203" cy="72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1119785</xdr:colOff>
      <xdr:row>5</xdr:row>
      <xdr:rowOff>130468</xdr:rowOff>
    </xdr:from>
    <xdr:to>
      <xdr:col>4</xdr:col>
      <xdr:colOff>309570</xdr:colOff>
      <xdr:row>7</xdr:row>
      <xdr:rowOff>109468</xdr:rowOff>
    </xdr:to>
    <xdr:pic>
      <xdr:nvPicPr>
        <xdr:cNvPr id="37" name="Gráfico 36" descr="Carrinho de compras com preenchimento sólido">
          <a:extLst>
            <a:ext uri="{FF2B5EF4-FFF2-40B4-BE49-F238E27FC236}">
              <a16:creationId xmlns:a16="http://schemas.microsoft.com/office/drawing/2014/main" id="{6987923C-A573-1E67-BF18-4776C1262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5446856" y="1191825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387245</xdr:colOff>
      <xdr:row>4</xdr:row>
      <xdr:rowOff>120704</xdr:rowOff>
    </xdr:from>
    <xdr:to>
      <xdr:col>10</xdr:col>
      <xdr:colOff>502127</xdr:colOff>
      <xdr:row>8</xdr:row>
      <xdr:rowOff>78704</xdr:rowOff>
    </xdr:to>
    <xdr:pic>
      <xdr:nvPicPr>
        <xdr:cNvPr id="38" name="Gráfico 37" descr="Bolas de Harvey 100% com preenchimento sólido">
          <a:extLst>
            <a:ext uri="{FF2B5EF4-FFF2-40B4-BE49-F238E27FC236}">
              <a16:creationId xmlns:a16="http://schemas.microsoft.com/office/drawing/2014/main" id="{73EC20E0-8F61-42C1-9FEE-8FA354564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9218281" y="991561"/>
          <a:ext cx="727203" cy="720000"/>
        </a:xfrm>
        <a:prstGeom prst="rect">
          <a:avLst/>
        </a:prstGeom>
      </xdr:spPr>
    </xdr:pic>
    <xdr:clientData/>
  </xdr:twoCellAnchor>
  <xdr:twoCellAnchor editAs="oneCell">
    <xdr:from>
      <xdr:col>9</xdr:col>
      <xdr:colOff>577904</xdr:colOff>
      <xdr:row>5</xdr:row>
      <xdr:rowOff>96051</xdr:rowOff>
    </xdr:from>
    <xdr:to>
      <xdr:col>10</xdr:col>
      <xdr:colOff>325583</xdr:colOff>
      <xdr:row>7</xdr:row>
      <xdr:rowOff>75051</xdr:rowOff>
    </xdr:to>
    <xdr:pic>
      <xdr:nvPicPr>
        <xdr:cNvPr id="40" name="Gráfico 39" descr="Moedas com preenchimento sólido">
          <a:extLst>
            <a:ext uri="{FF2B5EF4-FFF2-40B4-BE49-F238E27FC236}">
              <a16:creationId xmlns:a16="http://schemas.microsoft.com/office/drawing/2014/main" id="{A25C5963-C2F7-5386-0340-768F1DD62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9408940" y="1157408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465685</xdr:colOff>
      <xdr:row>1</xdr:row>
      <xdr:rowOff>85004</xdr:rowOff>
    </xdr:from>
    <xdr:to>
      <xdr:col>13</xdr:col>
      <xdr:colOff>213364</xdr:colOff>
      <xdr:row>2</xdr:row>
      <xdr:rowOff>142445</xdr:rowOff>
    </xdr:to>
    <xdr:pic>
      <xdr:nvPicPr>
        <xdr:cNvPr id="41" name="Gráfico 40" descr="Sinal com preenchimento sólido">
          <a:extLst>
            <a:ext uri="{FF2B5EF4-FFF2-40B4-BE49-F238E27FC236}">
              <a16:creationId xmlns:a16="http://schemas.microsoft.com/office/drawing/2014/main" id="{A5C27D1C-F625-4ACD-907A-F9BE499E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11133685" y="275504"/>
          <a:ext cx="360000" cy="356798"/>
        </a:xfrm>
        <a:prstGeom prst="rect">
          <a:avLst/>
        </a:prstGeom>
      </xdr:spPr>
    </xdr:pic>
    <xdr:clientData/>
  </xdr:twoCellAnchor>
  <xdr:twoCellAnchor>
    <xdr:from>
      <xdr:col>13</xdr:col>
      <xdr:colOff>258535</xdr:colOff>
      <xdr:row>0</xdr:row>
      <xdr:rowOff>108858</xdr:rowOff>
    </xdr:from>
    <xdr:to>
      <xdr:col>15</xdr:col>
      <xdr:colOff>190499</xdr:colOff>
      <xdr:row>3</xdr:row>
      <xdr:rowOff>176892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900FA0A7-C5A0-DE82-534D-75C344865412}"/>
            </a:ext>
          </a:extLst>
        </xdr:cNvPr>
        <xdr:cNvSpPr txBox="1"/>
      </xdr:nvSpPr>
      <xdr:spPr>
        <a:xfrm>
          <a:off x="11538856" y="108858"/>
          <a:ext cx="1156607" cy="7483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2"/>
              </a:solidFill>
              <a:latin typeface="Aptos" panose="020B0004020202020204" pitchFamily="34" charset="0"/>
            </a:rPr>
            <a:t>Dados</a:t>
          </a:r>
          <a:r>
            <a:rPr lang="pt-BR" sz="1200" baseline="0">
              <a:solidFill>
                <a:schemeClr val="bg2"/>
              </a:solidFill>
              <a:latin typeface="Aptos" panose="020B0004020202020204" pitchFamily="34" charset="0"/>
            </a:rPr>
            <a:t> gerando oportunidades</a:t>
          </a:r>
          <a:endParaRPr lang="pt-BR" sz="1200">
            <a:solidFill>
              <a:schemeClr val="bg2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552450</xdr:colOff>
      <xdr:row>35</xdr:row>
      <xdr:rowOff>171450</xdr:rowOff>
    </xdr:from>
    <xdr:to>
      <xdr:col>15</xdr:col>
      <xdr:colOff>123825</xdr:colOff>
      <xdr:row>35</xdr:row>
      <xdr:rowOff>171450</xdr:rowOff>
    </xdr:to>
    <xdr:cxnSp macro="">
      <xdr:nvCxnSpPr>
        <xdr:cNvPr id="48" name="Conector reto 47">
          <a:extLst>
            <a:ext uri="{FF2B5EF4-FFF2-40B4-BE49-F238E27FC236}">
              <a16:creationId xmlns:a16="http://schemas.microsoft.com/office/drawing/2014/main" id="{609DEE19-1972-8825-0967-4D051B808815}"/>
            </a:ext>
          </a:extLst>
        </xdr:cNvPr>
        <xdr:cNvCxnSpPr/>
      </xdr:nvCxnSpPr>
      <xdr:spPr>
        <a:xfrm>
          <a:off x="552450" y="7000875"/>
          <a:ext cx="120491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507841</xdr:colOff>
      <xdr:row>5</xdr:row>
      <xdr:rowOff>66544</xdr:rowOff>
    </xdr:from>
    <xdr:to>
      <xdr:col>3</xdr:col>
      <xdr:colOff>507841</xdr:colOff>
      <xdr:row>7</xdr:row>
      <xdr:rowOff>115303</xdr:rowOff>
    </xdr:to>
    <xdr:cxnSp macro="">
      <xdr:nvCxnSpPr>
        <xdr:cNvPr id="50" name="Conector reto 49">
          <a:extLst>
            <a:ext uri="{FF2B5EF4-FFF2-40B4-BE49-F238E27FC236}">
              <a16:creationId xmlns:a16="http://schemas.microsoft.com/office/drawing/2014/main" id="{B6BC9D0B-CAA1-46A5-8D6F-56A4B0CF3C83}"/>
            </a:ext>
          </a:extLst>
        </xdr:cNvPr>
        <xdr:cNvCxnSpPr/>
      </xdr:nvCxnSpPr>
      <xdr:spPr>
        <a:xfrm>
          <a:off x="4822106" y="1131103"/>
          <a:ext cx="0" cy="429759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581800</xdr:colOff>
      <xdr:row>5</xdr:row>
      <xdr:rowOff>106885</xdr:rowOff>
    </xdr:from>
    <xdr:to>
      <xdr:col>8</xdr:col>
      <xdr:colOff>581800</xdr:colOff>
      <xdr:row>7</xdr:row>
      <xdr:rowOff>155644</xdr:rowOff>
    </xdr:to>
    <xdr:cxnSp macro="">
      <xdr:nvCxnSpPr>
        <xdr:cNvPr id="51" name="Conector reto 50">
          <a:extLst>
            <a:ext uri="{FF2B5EF4-FFF2-40B4-BE49-F238E27FC236}">
              <a16:creationId xmlns:a16="http://schemas.microsoft.com/office/drawing/2014/main" id="{E25EC37E-0D31-468F-BAF5-54DF69D2E165}"/>
            </a:ext>
          </a:extLst>
        </xdr:cNvPr>
        <xdr:cNvCxnSpPr/>
      </xdr:nvCxnSpPr>
      <xdr:spPr>
        <a:xfrm>
          <a:off x="8773300" y="1171444"/>
          <a:ext cx="0" cy="429759"/>
        </a:xfrm>
        <a:prstGeom prst="line">
          <a:avLst/>
        </a:prstGeom>
        <a:ln w="38100"/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eno Silva" refreshedDate="46306.093242592593" createdVersion="8" refreshedVersion="8" minRefreshableVersion="3" recordCount="300" xr:uid="{C091A0BE-C6F5-40B6-B9D8-60B15BE41950}">
  <cacheSource type="worksheet">
    <worksheetSource name="tb_vendas"/>
  </cacheSource>
  <cacheFields count="7">
    <cacheField name="pedido_id" numFmtId="0">
      <sharedItems containsSemiMixedTypes="0" containsString="0" containsNumber="1" containsInteger="1" minValue="1" maxValue="300"/>
    </cacheField>
    <cacheField name="data" numFmtId="14">
      <sharedItems containsSemiMixedTypes="0" containsNonDate="0" containsDate="1" containsString="0" minDate="2025-01-04T00:00:00" maxDate="2025-12-31T00:00:00"/>
    </cacheField>
    <cacheField name="produto" numFmtId="0">
      <sharedItems count="6">
        <s v="Webcam"/>
        <s v="Mouse"/>
        <s v="Notebook"/>
        <s v="Headset"/>
        <s v="Teclado"/>
        <s v="Monitor"/>
      </sharedItems>
    </cacheField>
    <cacheField name="quantidade" numFmtId="0">
      <sharedItems containsSemiMixedTypes="0" containsString="0" containsNumber="1" containsInteger="1" minValue="1" maxValue="4"/>
    </cacheField>
    <cacheField name="preco_unitario" numFmtId="0">
      <sharedItems containsSemiMixedTypes="0" containsString="0" containsNumber="1" containsInteger="1" minValue="85" maxValue="3200"/>
    </cacheField>
    <cacheField name="regiao" numFmtId="0">
      <sharedItems count="5">
        <s v="Nordeste"/>
        <s v="Sudeste"/>
        <s v="Centro-Oeste"/>
        <s v="Sul"/>
        <s v="Norte"/>
      </sharedItems>
    </cacheField>
    <cacheField name="faturamento" numFmtId="0">
      <sharedItems containsSemiMixedTypes="0" containsString="0" containsNumber="1" containsInteger="1" minValue="85" maxValue="12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"/>
    <d v="2025-01-13T00:00:00"/>
    <x v="0"/>
    <n v="1"/>
    <n v="210"/>
    <x v="0"/>
    <n v="210"/>
  </r>
  <r>
    <n v="2"/>
    <d v="2025-03-13T00:00:00"/>
    <x v="1"/>
    <n v="2"/>
    <n v="85"/>
    <x v="1"/>
    <n v="170"/>
  </r>
  <r>
    <n v="3"/>
    <d v="2025-10-30T00:00:00"/>
    <x v="0"/>
    <n v="1"/>
    <n v="210"/>
    <x v="2"/>
    <n v="210"/>
  </r>
  <r>
    <n v="4"/>
    <d v="2025-02-17T00:00:00"/>
    <x v="2"/>
    <n v="1"/>
    <n v="3200"/>
    <x v="3"/>
    <n v="3200"/>
  </r>
  <r>
    <n v="5"/>
    <d v="2025-10-15T00:00:00"/>
    <x v="1"/>
    <n v="1"/>
    <n v="85"/>
    <x v="3"/>
    <n v="85"/>
  </r>
  <r>
    <n v="6"/>
    <d v="2025-04-23T00:00:00"/>
    <x v="0"/>
    <n v="4"/>
    <n v="210"/>
    <x v="2"/>
    <n v="840"/>
  </r>
  <r>
    <n v="7"/>
    <d v="2025-01-04T00:00:00"/>
    <x v="3"/>
    <n v="3"/>
    <n v="240"/>
    <x v="3"/>
    <n v="720"/>
  </r>
  <r>
    <n v="8"/>
    <d v="2025-06-24T00:00:00"/>
    <x v="0"/>
    <n v="4"/>
    <n v="210"/>
    <x v="0"/>
    <n v="840"/>
  </r>
  <r>
    <n v="9"/>
    <d v="2025-06-22T00:00:00"/>
    <x v="1"/>
    <n v="2"/>
    <n v="85"/>
    <x v="1"/>
    <n v="170"/>
  </r>
  <r>
    <n v="10"/>
    <d v="2025-02-19T00:00:00"/>
    <x v="2"/>
    <n v="4"/>
    <n v="3200"/>
    <x v="0"/>
    <n v="12800"/>
  </r>
  <r>
    <n v="11"/>
    <d v="2025-01-23T00:00:00"/>
    <x v="4"/>
    <n v="3"/>
    <n v="160"/>
    <x v="2"/>
    <n v="480"/>
  </r>
  <r>
    <n v="12"/>
    <d v="2025-07-13T00:00:00"/>
    <x v="3"/>
    <n v="1"/>
    <n v="240"/>
    <x v="1"/>
    <n v="240"/>
  </r>
  <r>
    <n v="13"/>
    <d v="2025-11-18T00:00:00"/>
    <x v="3"/>
    <n v="3"/>
    <n v="240"/>
    <x v="4"/>
    <n v="720"/>
  </r>
  <r>
    <n v="14"/>
    <d v="2025-12-27T00:00:00"/>
    <x v="4"/>
    <n v="2"/>
    <n v="160"/>
    <x v="1"/>
    <n v="320"/>
  </r>
  <r>
    <n v="15"/>
    <d v="2025-05-29T00:00:00"/>
    <x v="2"/>
    <n v="2"/>
    <n v="3200"/>
    <x v="1"/>
    <n v="6400"/>
  </r>
  <r>
    <n v="16"/>
    <d v="2025-07-14T00:00:00"/>
    <x v="1"/>
    <n v="1"/>
    <n v="85"/>
    <x v="0"/>
    <n v="85"/>
  </r>
  <r>
    <n v="17"/>
    <d v="2025-03-25T00:00:00"/>
    <x v="5"/>
    <n v="3"/>
    <n v="950"/>
    <x v="0"/>
    <n v="2850"/>
  </r>
  <r>
    <n v="18"/>
    <d v="2025-12-10T00:00:00"/>
    <x v="4"/>
    <n v="2"/>
    <n v="160"/>
    <x v="0"/>
    <n v="320"/>
  </r>
  <r>
    <n v="19"/>
    <d v="2025-11-08T00:00:00"/>
    <x v="0"/>
    <n v="1"/>
    <n v="210"/>
    <x v="3"/>
    <n v="210"/>
  </r>
  <r>
    <n v="20"/>
    <d v="2025-03-25T00:00:00"/>
    <x v="3"/>
    <n v="2"/>
    <n v="240"/>
    <x v="2"/>
    <n v="480"/>
  </r>
  <r>
    <n v="21"/>
    <d v="2025-11-24T00:00:00"/>
    <x v="5"/>
    <n v="3"/>
    <n v="950"/>
    <x v="4"/>
    <n v="2850"/>
  </r>
  <r>
    <n v="22"/>
    <d v="2025-01-29T00:00:00"/>
    <x v="1"/>
    <n v="3"/>
    <n v="85"/>
    <x v="3"/>
    <n v="255"/>
  </r>
  <r>
    <n v="23"/>
    <d v="2025-07-25T00:00:00"/>
    <x v="2"/>
    <n v="3"/>
    <n v="3200"/>
    <x v="0"/>
    <n v="9600"/>
  </r>
  <r>
    <n v="24"/>
    <d v="2025-10-18T00:00:00"/>
    <x v="2"/>
    <n v="2"/>
    <n v="3200"/>
    <x v="0"/>
    <n v="6400"/>
  </r>
  <r>
    <n v="25"/>
    <d v="2025-07-22T00:00:00"/>
    <x v="1"/>
    <n v="4"/>
    <n v="85"/>
    <x v="2"/>
    <n v="340"/>
  </r>
  <r>
    <n v="26"/>
    <d v="2025-03-13T00:00:00"/>
    <x v="1"/>
    <n v="3"/>
    <n v="85"/>
    <x v="3"/>
    <n v="255"/>
  </r>
  <r>
    <n v="27"/>
    <d v="2025-10-27T00:00:00"/>
    <x v="0"/>
    <n v="3"/>
    <n v="210"/>
    <x v="2"/>
    <n v="630"/>
  </r>
  <r>
    <n v="28"/>
    <d v="2025-07-05T00:00:00"/>
    <x v="3"/>
    <n v="4"/>
    <n v="240"/>
    <x v="3"/>
    <n v="960"/>
  </r>
  <r>
    <n v="29"/>
    <d v="2025-02-16T00:00:00"/>
    <x v="1"/>
    <n v="4"/>
    <n v="85"/>
    <x v="1"/>
    <n v="340"/>
  </r>
  <r>
    <n v="30"/>
    <d v="2025-11-18T00:00:00"/>
    <x v="2"/>
    <n v="2"/>
    <n v="3200"/>
    <x v="3"/>
    <n v="6400"/>
  </r>
  <r>
    <n v="31"/>
    <d v="2025-11-02T00:00:00"/>
    <x v="0"/>
    <n v="4"/>
    <n v="210"/>
    <x v="1"/>
    <n v="840"/>
  </r>
  <r>
    <n v="32"/>
    <d v="2025-11-02T00:00:00"/>
    <x v="5"/>
    <n v="4"/>
    <n v="950"/>
    <x v="2"/>
    <n v="3800"/>
  </r>
  <r>
    <n v="33"/>
    <d v="2025-10-11T00:00:00"/>
    <x v="3"/>
    <n v="3"/>
    <n v="240"/>
    <x v="1"/>
    <n v="720"/>
  </r>
  <r>
    <n v="34"/>
    <d v="2025-12-16T00:00:00"/>
    <x v="0"/>
    <n v="1"/>
    <n v="210"/>
    <x v="4"/>
    <n v="210"/>
  </r>
  <r>
    <n v="35"/>
    <d v="2025-02-27T00:00:00"/>
    <x v="4"/>
    <n v="3"/>
    <n v="160"/>
    <x v="0"/>
    <n v="480"/>
  </r>
  <r>
    <n v="36"/>
    <d v="2025-08-21T00:00:00"/>
    <x v="5"/>
    <n v="2"/>
    <n v="950"/>
    <x v="1"/>
    <n v="1900"/>
  </r>
  <r>
    <n v="37"/>
    <d v="2025-09-14T00:00:00"/>
    <x v="0"/>
    <n v="3"/>
    <n v="210"/>
    <x v="3"/>
    <n v="630"/>
  </r>
  <r>
    <n v="38"/>
    <d v="2025-11-17T00:00:00"/>
    <x v="3"/>
    <n v="1"/>
    <n v="240"/>
    <x v="0"/>
    <n v="240"/>
  </r>
  <r>
    <n v="39"/>
    <d v="2025-03-20T00:00:00"/>
    <x v="0"/>
    <n v="2"/>
    <n v="210"/>
    <x v="0"/>
    <n v="420"/>
  </r>
  <r>
    <n v="40"/>
    <d v="2025-11-03T00:00:00"/>
    <x v="1"/>
    <n v="1"/>
    <n v="85"/>
    <x v="0"/>
    <n v="85"/>
  </r>
  <r>
    <n v="41"/>
    <d v="2025-02-27T00:00:00"/>
    <x v="5"/>
    <n v="1"/>
    <n v="950"/>
    <x v="0"/>
    <n v="950"/>
  </r>
  <r>
    <n v="42"/>
    <d v="2025-01-30T00:00:00"/>
    <x v="4"/>
    <n v="2"/>
    <n v="160"/>
    <x v="3"/>
    <n v="320"/>
  </r>
  <r>
    <n v="43"/>
    <d v="2025-02-13T00:00:00"/>
    <x v="3"/>
    <n v="1"/>
    <n v="240"/>
    <x v="2"/>
    <n v="240"/>
  </r>
  <r>
    <n v="44"/>
    <d v="2025-03-07T00:00:00"/>
    <x v="2"/>
    <n v="2"/>
    <n v="3200"/>
    <x v="2"/>
    <n v="6400"/>
  </r>
  <r>
    <n v="45"/>
    <d v="2025-05-16T00:00:00"/>
    <x v="3"/>
    <n v="2"/>
    <n v="240"/>
    <x v="4"/>
    <n v="480"/>
  </r>
  <r>
    <n v="46"/>
    <d v="2025-04-19T00:00:00"/>
    <x v="3"/>
    <n v="4"/>
    <n v="240"/>
    <x v="4"/>
    <n v="960"/>
  </r>
  <r>
    <n v="47"/>
    <d v="2025-06-09T00:00:00"/>
    <x v="0"/>
    <n v="2"/>
    <n v="210"/>
    <x v="2"/>
    <n v="420"/>
  </r>
  <r>
    <n v="48"/>
    <d v="2025-08-13T00:00:00"/>
    <x v="0"/>
    <n v="3"/>
    <n v="210"/>
    <x v="4"/>
    <n v="630"/>
  </r>
  <r>
    <n v="49"/>
    <d v="2025-05-07T00:00:00"/>
    <x v="5"/>
    <n v="1"/>
    <n v="950"/>
    <x v="3"/>
    <n v="950"/>
  </r>
  <r>
    <n v="50"/>
    <d v="2025-01-11T00:00:00"/>
    <x v="2"/>
    <n v="3"/>
    <n v="3200"/>
    <x v="4"/>
    <n v="9600"/>
  </r>
  <r>
    <n v="51"/>
    <d v="2025-10-29T00:00:00"/>
    <x v="3"/>
    <n v="2"/>
    <n v="240"/>
    <x v="3"/>
    <n v="480"/>
  </r>
  <r>
    <n v="52"/>
    <d v="2025-12-29T00:00:00"/>
    <x v="2"/>
    <n v="1"/>
    <n v="3200"/>
    <x v="1"/>
    <n v="3200"/>
  </r>
  <r>
    <n v="53"/>
    <d v="2025-01-17T00:00:00"/>
    <x v="1"/>
    <n v="1"/>
    <n v="85"/>
    <x v="0"/>
    <n v="85"/>
  </r>
  <r>
    <n v="54"/>
    <d v="2025-05-23T00:00:00"/>
    <x v="2"/>
    <n v="2"/>
    <n v="3200"/>
    <x v="2"/>
    <n v="6400"/>
  </r>
  <r>
    <n v="55"/>
    <d v="2025-10-20T00:00:00"/>
    <x v="1"/>
    <n v="2"/>
    <n v="85"/>
    <x v="4"/>
    <n v="170"/>
  </r>
  <r>
    <n v="56"/>
    <d v="2025-08-31T00:00:00"/>
    <x v="5"/>
    <n v="2"/>
    <n v="950"/>
    <x v="2"/>
    <n v="1900"/>
  </r>
  <r>
    <n v="57"/>
    <d v="2025-02-19T00:00:00"/>
    <x v="1"/>
    <n v="1"/>
    <n v="85"/>
    <x v="2"/>
    <n v="85"/>
  </r>
  <r>
    <n v="58"/>
    <d v="2025-07-30T00:00:00"/>
    <x v="4"/>
    <n v="4"/>
    <n v="160"/>
    <x v="2"/>
    <n v="640"/>
  </r>
  <r>
    <n v="59"/>
    <d v="2025-12-11T00:00:00"/>
    <x v="0"/>
    <n v="1"/>
    <n v="210"/>
    <x v="1"/>
    <n v="210"/>
  </r>
  <r>
    <n v="60"/>
    <d v="2025-06-23T00:00:00"/>
    <x v="2"/>
    <n v="4"/>
    <n v="3200"/>
    <x v="1"/>
    <n v="12800"/>
  </r>
  <r>
    <n v="61"/>
    <d v="2025-04-08T00:00:00"/>
    <x v="1"/>
    <n v="2"/>
    <n v="85"/>
    <x v="4"/>
    <n v="170"/>
  </r>
  <r>
    <n v="62"/>
    <d v="2025-08-05T00:00:00"/>
    <x v="5"/>
    <n v="2"/>
    <n v="950"/>
    <x v="3"/>
    <n v="1900"/>
  </r>
  <r>
    <n v="63"/>
    <d v="2025-05-08T00:00:00"/>
    <x v="4"/>
    <n v="4"/>
    <n v="160"/>
    <x v="1"/>
    <n v="640"/>
  </r>
  <r>
    <n v="64"/>
    <d v="2025-01-26T00:00:00"/>
    <x v="5"/>
    <n v="1"/>
    <n v="950"/>
    <x v="4"/>
    <n v="950"/>
  </r>
  <r>
    <n v="65"/>
    <d v="2025-05-02T00:00:00"/>
    <x v="2"/>
    <n v="1"/>
    <n v="3200"/>
    <x v="3"/>
    <n v="3200"/>
  </r>
  <r>
    <n v="66"/>
    <d v="2025-09-04T00:00:00"/>
    <x v="5"/>
    <n v="4"/>
    <n v="950"/>
    <x v="3"/>
    <n v="3800"/>
  </r>
  <r>
    <n v="67"/>
    <d v="2025-03-26T00:00:00"/>
    <x v="5"/>
    <n v="1"/>
    <n v="950"/>
    <x v="2"/>
    <n v="950"/>
  </r>
  <r>
    <n v="68"/>
    <d v="2025-05-16T00:00:00"/>
    <x v="2"/>
    <n v="4"/>
    <n v="3200"/>
    <x v="2"/>
    <n v="12800"/>
  </r>
  <r>
    <n v="69"/>
    <d v="2025-12-23T00:00:00"/>
    <x v="4"/>
    <n v="4"/>
    <n v="160"/>
    <x v="4"/>
    <n v="640"/>
  </r>
  <r>
    <n v="70"/>
    <d v="2025-03-21T00:00:00"/>
    <x v="0"/>
    <n v="4"/>
    <n v="210"/>
    <x v="3"/>
    <n v="840"/>
  </r>
  <r>
    <n v="71"/>
    <d v="2025-01-30T00:00:00"/>
    <x v="4"/>
    <n v="2"/>
    <n v="160"/>
    <x v="4"/>
    <n v="320"/>
  </r>
  <r>
    <n v="72"/>
    <d v="2025-06-10T00:00:00"/>
    <x v="0"/>
    <n v="1"/>
    <n v="210"/>
    <x v="1"/>
    <n v="210"/>
  </r>
  <r>
    <n v="73"/>
    <d v="2025-09-15T00:00:00"/>
    <x v="2"/>
    <n v="4"/>
    <n v="3200"/>
    <x v="4"/>
    <n v="12800"/>
  </r>
  <r>
    <n v="74"/>
    <d v="2025-09-18T00:00:00"/>
    <x v="1"/>
    <n v="1"/>
    <n v="85"/>
    <x v="1"/>
    <n v="85"/>
  </r>
  <r>
    <n v="75"/>
    <d v="2025-11-01T00:00:00"/>
    <x v="1"/>
    <n v="1"/>
    <n v="85"/>
    <x v="1"/>
    <n v="85"/>
  </r>
  <r>
    <n v="76"/>
    <d v="2025-07-26T00:00:00"/>
    <x v="0"/>
    <n v="2"/>
    <n v="210"/>
    <x v="1"/>
    <n v="420"/>
  </r>
  <r>
    <n v="77"/>
    <d v="2025-10-24T00:00:00"/>
    <x v="3"/>
    <n v="2"/>
    <n v="240"/>
    <x v="4"/>
    <n v="480"/>
  </r>
  <r>
    <n v="78"/>
    <d v="2025-08-03T00:00:00"/>
    <x v="2"/>
    <n v="1"/>
    <n v="3200"/>
    <x v="4"/>
    <n v="3200"/>
  </r>
  <r>
    <n v="79"/>
    <d v="2025-05-14T00:00:00"/>
    <x v="3"/>
    <n v="3"/>
    <n v="240"/>
    <x v="3"/>
    <n v="720"/>
  </r>
  <r>
    <n v="80"/>
    <d v="2025-05-03T00:00:00"/>
    <x v="0"/>
    <n v="3"/>
    <n v="210"/>
    <x v="0"/>
    <n v="630"/>
  </r>
  <r>
    <n v="81"/>
    <d v="2025-12-10T00:00:00"/>
    <x v="5"/>
    <n v="2"/>
    <n v="950"/>
    <x v="0"/>
    <n v="1900"/>
  </r>
  <r>
    <n v="82"/>
    <d v="2025-02-07T00:00:00"/>
    <x v="5"/>
    <n v="3"/>
    <n v="950"/>
    <x v="1"/>
    <n v="2850"/>
  </r>
  <r>
    <n v="83"/>
    <d v="2025-02-07T00:00:00"/>
    <x v="5"/>
    <n v="1"/>
    <n v="950"/>
    <x v="4"/>
    <n v="950"/>
  </r>
  <r>
    <n v="84"/>
    <d v="2025-03-09T00:00:00"/>
    <x v="1"/>
    <n v="3"/>
    <n v="85"/>
    <x v="0"/>
    <n v="255"/>
  </r>
  <r>
    <n v="85"/>
    <d v="2025-07-09T00:00:00"/>
    <x v="2"/>
    <n v="2"/>
    <n v="3200"/>
    <x v="0"/>
    <n v="6400"/>
  </r>
  <r>
    <n v="86"/>
    <d v="2025-10-06T00:00:00"/>
    <x v="1"/>
    <n v="4"/>
    <n v="85"/>
    <x v="0"/>
    <n v="340"/>
  </r>
  <r>
    <n v="87"/>
    <d v="2025-12-08T00:00:00"/>
    <x v="3"/>
    <n v="1"/>
    <n v="240"/>
    <x v="4"/>
    <n v="240"/>
  </r>
  <r>
    <n v="88"/>
    <d v="2025-03-10T00:00:00"/>
    <x v="4"/>
    <n v="1"/>
    <n v="160"/>
    <x v="0"/>
    <n v="160"/>
  </r>
  <r>
    <n v="89"/>
    <d v="2025-10-11T00:00:00"/>
    <x v="2"/>
    <n v="1"/>
    <n v="3200"/>
    <x v="3"/>
    <n v="3200"/>
  </r>
  <r>
    <n v="90"/>
    <d v="2025-11-06T00:00:00"/>
    <x v="4"/>
    <n v="3"/>
    <n v="160"/>
    <x v="3"/>
    <n v="480"/>
  </r>
  <r>
    <n v="91"/>
    <d v="2025-04-15T00:00:00"/>
    <x v="0"/>
    <n v="3"/>
    <n v="210"/>
    <x v="0"/>
    <n v="630"/>
  </r>
  <r>
    <n v="92"/>
    <d v="2025-05-09T00:00:00"/>
    <x v="3"/>
    <n v="4"/>
    <n v="240"/>
    <x v="1"/>
    <n v="960"/>
  </r>
  <r>
    <n v="93"/>
    <d v="2025-05-22T00:00:00"/>
    <x v="2"/>
    <n v="4"/>
    <n v="3200"/>
    <x v="1"/>
    <n v="12800"/>
  </r>
  <r>
    <n v="94"/>
    <d v="2025-03-08T00:00:00"/>
    <x v="2"/>
    <n v="3"/>
    <n v="3200"/>
    <x v="0"/>
    <n v="9600"/>
  </r>
  <r>
    <n v="95"/>
    <d v="2025-10-10T00:00:00"/>
    <x v="1"/>
    <n v="4"/>
    <n v="85"/>
    <x v="2"/>
    <n v="340"/>
  </r>
  <r>
    <n v="96"/>
    <d v="2025-02-27T00:00:00"/>
    <x v="3"/>
    <n v="1"/>
    <n v="240"/>
    <x v="1"/>
    <n v="240"/>
  </r>
  <r>
    <n v="97"/>
    <d v="2025-10-07T00:00:00"/>
    <x v="0"/>
    <n v="2"/>
    <n v="210"/>
    <x v="1"/>
    <n v="420"/>
  </r>
  <r>
    <n v="98"/>
    <d v="2025-08-09T00:00:00"/>
    <x v="4"/>
    <n v="2"/>
    <n v="160"/>
    <x v="3"/>
    <n v="320"/>
  </r>
  <r>
    <n v="99"/>
    <d v="2025-07-06T00:00:00"/>
    <x v="2"/>
    <n v="3"/>
    <n v="3200"/>
    <x v="1"/>
    <n v="9600"/>
  </r>
  <r>
    <n v="100"/>
    <d v="2025-12-16T00:00:00"/>
    <x v="4"/>
    <n v="2"/>
    <n v="160"/>
    <x v="3"/>
    <n v="320"/>
  </r>
  <r>
    <n v="101"/>
    <d v="2025-07-01T00:00:00"/>
    <x v="0"/>
    <n v="1"/>
    <n v="210"/>
    <x v="4"/>
    <n v="210"/>
  </r>
  <r>
    <n v="102"/>
    <d v="2025-05-02T00:00:00"/>
    <x v="5"/>
    <n v="2"/>
    <n v="950"/>
    <x v="3"/>
    <n v="1900"/>
  </r>
  <r>
    <n v="103"/>
    <d v="2025-01-13T00:00:00"/>
    <x v="1"/>
    <n v="4"/>
    <n v="85"/>
    <x v="3"/>
    <n v="340"/>
  </r>
  <r>
    <n v="104"/>
    <d v="2025-07-30T00:00:00"/>
    <x v="0"/>
    <n v="3"/>
    <n v="210"/>
    <x v="3"/>
    <n v="630"/>
  </r>
  <r>
    <n v="105"/>
    <d v="2025-12-26T00:00:00"/>
    <x v="4"/>
    <n v="2"/>
    <n v="160"/>
    <x v="1"/>
    <n v="320"/>
  </r>
  <r>
    <n v="106"/>
    <d v="2025-08-29T00:00:00"/>
    <x v="5"/>
    <n v="1"/>
    <n v="950"/>
    <x v="3"/>
    <n v="950"/>
  </r>
  <r>
    <n v="107"/>
    <d v="2025-06-29T00:00:00"/>
    <x v="1"/>
    <n v="4"/>
    <n v="85"/>
    <x v="0"/>
    <n v="340"/>
  </r>
  <r>
    <n v="108"/>
    <d v="2025-01-13T00:00:00"/>
    <x v="1"/>
    <n v="2"/>
    <n v="85"/>
    <x v="3"/>
    <n v="170"/>
  </r>
  <r>
    <n v="109"/>
    <d v="2025-05-23T00:00:00"/>
    <x v="5"/>
    <n v="3"/>
    <n v="950"/>
    <x v="1"/>
    <n v="2850"/>
  </r>
  <r>
    <n v="110"/>
    <d v="2025-11-25T00:00:00"/>
    <x v="4"/>
    <n v="3"/>
    <n v="160"/>
    <x v="4"/>
    <n v="480"/>
  </r>
  <r>
    <n v="111"/>
    <d v="2025-01-15T00:00:00"/>
    <x v="5"/>
    <n v="3"/>
    <n v="950"/>
    <x v="1"/>
    <n v="2850"/>
  </r>
  <r>
    <n v="112"/>
    <d v="2025-10-25T00:00:00"/>
    <x v="4"/>
    <n v="2"/>
    <n v="160"/>
    <x v="0"/>
    <n v="320"/>
  </r>
  <r>
    <n v="113"/>
    <d v="2025-11-02T00:00:00"/>
    <x v="2"/>
    <n v="1"/>
    <n v="3200"/>
    <x v="2"/>
    <n v="3200"/>
  </r>
  <r>
    <n v="114"/>
    <d v="2025-08-12T00:00:00"/>
    <x v="4"/>
    <n v="3"/>
    <n v="160"/>
    <x v="4"/>
    <n v="480"/>
  </r>
  <r>
    <n v="115"/>
    <d v="2025-07-17T00:00:00"/>
    <x v="3"/>
    <n v="1"/>
    <n v="240"/>
    <x v="4"/>
    <n v="240"/>
  </r>
  <r>
    <n v="116"/>
    <d v="2025-01-23T00:00:00"/>
    <x v="1"/>
    <n v="3"/>
    <n v="85"/>
    <x v="2"/>
    <n v="255"/>
  </r>
  <r>
    <n v="117"/>
    <d v="2025-07-06T00:00:00"/>
    <x v="2"/>
    <n v="2"/>
    <n v="3200"/>
    <x v="2"/>
    <n v="6400"/>
  </r>
  <r>
    <n v="118"/>
    <d v="2025-11-16T00:00:00"/>
    <x v="2"/>
    <n v="3"/>
    <n v="3200"/>
    <x v="0"/>
    <n v="9600"/>
  </r>
  <r>
    <n v="119"/>
    <d v="2025-06-03T00:00:00"/>
    <x v="0"/>
    <n v="1"/>
    <n v="210"/>
    <x v="4"/>
    <n v="210"/>
  </r>
  <r>
    <n v="120"/>
    <d v="2025-06-17T00:00:00"/>
    <x v="4"/>
    <n v="4"/>
    <n v="160"/>
    <x v="2"/>
    <n v="640"/>
  </r>
  <r>
    <n v="121"/>
    <d v="2025-10-11T00:00:00"/>
    <x v="0"/>
    <n v="3"/>
    <n v="210"/>
    <x v="3"/>
    <n v="630"/>
  </r>
  <r>
    <n v="122"/>
    <d v="2025-12-07T00:00:00"/>
    <x v="1"/>
    <n v="4"/>
    <n v="85"/>
    <x v="2"/>
    <n v="340"/>
  </r>
  <r>
    <n v="123"/>
    <d v="2025-11-12T00:00:00"/>
    <x v="0"/>
    <n v="2"/>
    <n v="210"/>
    <x v="4"/>
    <n v="420"/>
  </r>
  <r>
    <n v="124"/>
    <d v="2025-10-08T00:00:00"/>
    <x v="4"/>
    <n v="4"/>
    <n v="160"/>
    <x v="1"/>
    <n v="640"/>
  </r>
  <r>
    <n v="125"/>
    <d v="2025-04-18T00:00:00"/>
    <x v="4"/>
    <n v="3"/>
    <n v="160"/>
    <x v="2"/>
    <n v="480"/>
  </r>
  <r>
    <n v="126"/>
    <d v="2025-08-27T00:00:00"/>
    <x v="3"/>
    <n v="3"/>
    <n v="240"/>
    <x v="2"/>
    <n v="720"/>
  </r>
  <r>
    <n v="127"/>
    <d v="2025-09-19T00:00:00"/>
    <x v="5"/>
    <n v="2"/>
    <n v="950"/>
    <x v="2"/>
    <n v="1900"/>
  </r>
  <r>
    <n v="128"/>
    <d v="2025-12-04T00:00:00"/>
    <x v="0"/>
    <n v="2"/>
    <n v="210"/>
    <x v="1"/>
    <n v="420"/>
  </r>
  <r>
    <n v="129"/>
    <d v="2025-02-17T00:00:00"/>
    <x v="4"/>
    <n v="3"/>
    <n v="160"/>
    <x v="3"/>
    <n v="480"/>
  </r>
  <r>
    <n v="130"/>
    <d v="2025-04-26T00:00:00"/>
    <x v="0"/>
    <n v="3"/>
    <n v="210"/>
    <x v="3"/>
    <n v="630"/>
  </r>
  <r>
    <n v="131"/>
    <d v="2025-01-24T00:00:00"/>
    <x v="1"/>
    <n v="1"/>
    <n v="85"/>
    <x v="3"/>
    <n v="85"/>
  </r>
  <r>
    <n v="132"/>
    <d v="2025-08-22T00:00:00"/>
    <x v="5"/>
    <n v="1"/>
    <n v="950"/>
    <x v="2"/>
    <n v="950"/>
  </r>
  <r>
    <n v="133"/>
    <d v="2025-12-23T00:00:00"/>
    <x v="0"/>
    <n v="2"/>
    <n v="210"/>
    <x v="2"/>
    <n v="420"/>
  </r>
  <r>
    <n v="134"/>
    <d v="2025-05-05T00:00:00"/>
    <x v="5"/>
    <n v="4"/>
    <n v="950"/>
    <x v="3"/>
    <n v="3800"/>
  </r>
  <r>
    <n v="135"/>
    <d v="2025-02-24T00:00:00"/>
    <x v="0"/>
    <n v="1"/>
    <n v="210"/>
    <x v="2"/>
    <n v="210"/>
  </r>
  <r>
    <n v="136"/>
    <d v="2025-12-23T00:00:00"/>
    <x v="1"/>
    <n v="2"/>
    <n v="85"/>
    <x v="4"/>
    <n v="170"/>
  </r>
  <r>
    <n v="137"/>
    <d v="2025-10-13T00:00:00"/>
    <x v="5"/>
    <n v="1"/>
    <n v="950"/>
    <x v="3"/>
    <n v="950"/>
  </r>
  <r>
    <n v="138"/>
    <d v="2025-03-10T00:00:00"/>
    <x v="2"/>
    <n v="4"/>
    <n v="3200"/>
    <x v="2"/>
    <n v="12800"/>
  </r>
  <r>
    <n v="139"/>
    <d v="2025-08-15T00:00:00"/>
    <x v="0"/>
    <n v="3"/>
    <n v="210"/>
    <x v="4"/>
    <n v="630"/>
  </r>
  <r>
    <n v="140"/>
    <d v="2025-10-08T00:00:00"/>
    <x v="0"/>
    <n v="4"/>
    <n v="210"/>
    <x v="2"/>
    <n v="840"/>
  </r>
  <r>
    <n v="141"/>
    <d v="2025-08-19T00:00:00"/>
    <x v="1"/>
    <n v="4"/>
    <n v="85"/>
    <x v="0"/>
    <n v="340"/>
  </r>
  <r>
    <n v="142"/>
    <d v="2025-09-24T00:00:00"/>
    <x v="1"/>
    <n v="3"/>
    <n v="85"/>
    <x v="2"/>
    <n v="255"/>
  </r>
  <r>
    <n v="143"/>
    <d v="2025-05-21T00:00:00"/>
    <x v="0"/>
    <n v="2"/>
    <n v="210"/>
    <x v="2"/>
    <n v="420"/>
  </r>
  <r>
    <n v="144"/>
    <d v="2025-05-01T00:00:00"/>
    <x v="2"/>
    <n v="3"/>
    <n v="3200"/>
    <x v="0"/>
    <n v="9600"/>
  </r>
  <r>
    <n v="145"/>
    <d v="2025-10-04T00:00:00"/>
    <x v="4"/>
    <n v="3"/>
    <n v="160"/>
    <x v="1"/>
    <n v="480"/>
  </r>
  <r>
    <n v="146"/>
    <d v="2025-04-29T00:00:00"/>
    <x v="1"/>
    <n v="2"/>
    <n v="85"/>
    <x v="2"/>
    <n v="170"/>
  </r>
  <r>
    <n v="147"/>
    <d v="2025-12-28T00:00:00"/>
    <x v="0"/>
    <n v="2"/>
    <n v="210"/>
    <x v="3"/>
    <n v="420"/>
  </r>
  <r>
    <n v="148"/>
    <d v="2025-07-28T00:00:00"/>
    <x v="2"/>
    <n v="4"/>
    <n v="3200"/>
    <x v="0"/>
    <n v="12800"/>
  </r>
  <r>
    <n v="149"/>
    <d v="2025-08-01T00:00:00"/>
    <x v="3"/>
    <n v="4"/>
    <n v="240"/>
    <x v="1"/>
    <n v="960"/>
  </r>
  <r>
    <n v="150"/>
    <d v="2025-07-19T00:00:00"/>
    <x v="1"/>
    <n v="4"/>
    <n v="85"/>
    <x v="4"/>
    <n v="340"/>
  </r>
  <r>
    <n v="151"/>
    <d v="2025-10-22T00:00:00"/>
    <x v="0"/>
    <n v="1"/>
    <n v="210"/>
    <x v="2"/>
    <n v="210"/>
  </r>
  <r>
    <n v="152"/>
    <d v="2025-06-30T00:00:00"/>
    <x v="5"/>
    <n v="1"/>
    <n v="950"/>
    <x v="0"/>
    <n v="950"/>
  </r>
  <r>
    <n v="153"/>
    <d v="2025-10-03T00:00:00"/>
    <x v="5"/>
    <n v="4"/>
    <n v="950"/>
    <x v="4"/>
    <n v="3800"/>
  </r>
  <r>
    <n v="154"/>
    <d v="2025-09-07T00:00:00"/>
    <x v="3"/>
    <n v="2"/>
    <n v="240"/>
    <x v="3"/>
    <n v="480"/>
  </r>
  <r>
    <n v="155"/>
    <d v="2025-09-06T00:00:00"/>
    <x v="4"/>
    <n v="4"/>
    <n v="160"/>
    <x v="1"/>
    <n v="640"/>
  </r>
  <r>
    <n v="156"/>
    <d v="2025-12-09T00:00:00"/>
    <x v="5"/>
    <n v="3"/>
    <n v="950"/>
    <x v="2"/>
    <n v="2850"/>
  </r>
  <r>
    <n v="157"/>
    <d v="2025-08-28T00:00:00"/>
    <x v="0"/>
    <n v="2"/>
    <n v="210"/>
    <x v="3"/>
    <n v="420"/>
  </r>
  <r>
    <n v="158"/>
    <d v="2025-07-21T00:00:00"/>
    <x v="3"/>
    <n v="1"/>
    <n v="240"/>
    <x v="4"/>
    <n v="240"/>
  </r>
  <r>
    <n v="159"/>
    <d v="2025-02-12T00:00:00"/>
    <x v="3"/>
    <n v="1"/>
    <n v="240"/>
    <x v="2"/>
    <n v="240"/>
  </r>
  <r>
    <n v="160"/>
    <d v="2025-04-04T00:00:00"/>
    <x v="1"/>
    <n v="4"/>
    <n v="85"/>
    <x v="1"/>
    <n v="340"/>
  </r>
  <r>
    <n v="161"/>
    <d v="2025-06-17T00:00:00"/>
    <x v="4"/>
    <n v="4"/>
    <n v="160"/>
    <x v="3"/>
    <n v="640"/>
  </r>
  <r>
    <n v="162"/>
    <d v="2025-06-22T00:00:00"/>
    <x v="5"/>
    <n v="3"/>
    <n v="950"/>
    <x v="2"/>
    <n v="2850"/>
  </r>
  <r>
    <n v="163"/>
    <d v="2025-05-10T00:00:00"/>
    <x v="4"/>
    <n v="4"/>
    <n v="160"/>
    <x v="1"/>
    <n v="640"/>
  </r>
  <r>
    <n v="164"/>
    <d v="2025-10-04T00:00:00"/>
    <x v="5"/>
    <n v="1"/>
    <n v="950"/>
    <x v="1"/>
    <n v="950"/>
  </r>
  <r>
    <n v="165"/>
    <d v="2025-11-29T00:00:00"/>
    <x v="4"/>
    <n v="2"/>
    <n v="160"/>
    <x v="1"/>
    <n v="320"/>
  </r>
  <r>
    <n v="166"/>
    <d v="2025-01-16T00:00:00"/>
    <x v="0"/>
    <n v="1"/>
    <n v="210"/>
    <x v="3"/>
    <n v="210"/>
  </r>
  <r>
    <n v="167"/>
    <d v="2025-11-15T00:00:00"/>
    <x v="1"/>
    <n v="1"/>
    <n v="85"/>
    <x v="3"/>
    <n v="85"/>
  </r>
  <r>
    <n v="168"/>
    <d v="2025-08-31T00:00:00"/>
    <x v="1"/>
    <n v="2"/>
    <n v="85"/>
    <x v="1"/>
    <n v="170"/>
  </r>
  <r>
    <n v="169"/>
    <d v="2025-08-27T00:00:00"/>
    <x v="3"/>
    <n v="2"/>
    <n v="240"/>
    <x v="0"/>
    <n v="480"/>
  </r>
  <r>
    <n v="170"/>
    <d v="2025-11-07T00:00:00"/>
    <x v="4"/>
    <n v="2"/>
    <n v="160"/>
    <x v="4"/>
    <n v="320"/>
  </r>
  <r>
    <n v="171"/>
    <d v="2025-03-25T00:00:00"/>
    <x v="0"/>
    <n v="1"/>
    <n v="210"/>
    <x v="0"/>
    <n v="210"/>
  </r>
  <r>
    <n v="172"/>
    <d v="2025-06-09T00:00:00"/>
    <x v="2"/>
    <n v="1"/>
    <n v="3200"/>
    <x v="4"/>
    <n v="3200"/>
  </r>
  <r>
    <n v="173"/>
    <d v="2025-07-23T00:00:00"/>
    <x v="0"/>
    <n v="4"/>
    <n v="210"/>
    <x v="3"/>
    <n v="840"/>
  </r>
  <r>
    <n v="174"/>
    <d v="2025-02-22T00:00:00"/>
    <x v="2"/>
    <n v="2"/>
    <n v="3200"/>
    <x v="0"/>
    <n v="6400"/>
  </r>
  <r>
    <n v="175"/>
    <d v="2025-10-17T00:00:00"/>
    <x v="0"/>
    <n v="1"/>
    <n v="210"/>
    <x v="1"/>
    <n v="210"/>
  </r>
  <r>
    <n v="176"/>
    <d v="2025-12-05T00:00:00"/>
    <x v="4"/>
    <n v="4"/>
    <n v="160"/>
    <x v="0"/>
    <n v="640"/>
  </r>
  <r>
    <n v="177"/>
    <d v="2025-01-07T00:00:00"/>
    <x v="2"/>
    <n v="3"/>
    <n v="3200"/>
    <x v="2"/>
    <n v="9600"/>
  </r>
  <r>
    <n v="178"/>
    <d v="2025-08-10T00:00:00"/>
    <x v="5"/>
    <n v="1"/>
    <n v="950"/>
    <x v="0"/>
    <n v="950"/>
  </r>
  <r>
    <n v="179"/>
    <d v="2025-12-29T00:00:00"/>
    <x v="0"/>
    <n v="4"/>
    <n v="210"/>
    <x v="3"/>
    <n v="840"/>
  </r>
  <r>
    <n v="180"/>
    <d v="2025-09-25T00:00:00"/>
    <x v="5"/>
    <n v="2"/>
    <n v="950"/>
    <x v="0"/>
    <n v="1900"/>
  </r>
  <r>
    <n v="181"/>
    <d v="2025-08-27T00:00:00"/>
    <x v="3"/>
    <n v="4"/>
    <n v="240"/>
    <x v="2"/>
    <n v="960"/>
  </r>
  <r>
    <n v="182"/>
    <d v="2025-06-15T00:00:00"/>
    <x v="0"/>
    <n v="3"/>
    <n v="210"/>
    <x v="3"/>
    <n v="630"/>
  </r>
  <r>
    <n v="183"/>
    <d v="2025-08-19T00:00:00"/>
    <x v="2"/>
    <n v="3"/>
    <n v="3200"/>
    <x v="3"/>
    <n v="9600"/>
  </r>
  <r>
    <n v="184"/>
    <d v="2025-06-22T00:00:00"/>
    <x v="5"/>
    <n v="4"/>
    <n v="950"/>
    <x v="1"/>
    <n v="3800"/>
  </r>
  <r>
    <n v="185"/>
    <d v="2025-04-04T00:00:00"/>
    <x v="5"/>
    <n v="3"/>
    <n v="950"/>
    <x v="2"/>
    <n v="2850"/>
  </r>
  <r>
    <n v="186"/>
    <d v="2025-05-13T00:00:00"/>
    <x v="1"/>
    <n v="3"/>
    <n v="85"/>
    <x v="0"/>
    <n v="255"/>
  </r>
  <r>
    <n v="187"/>
    <d v="2025-10-12T00:00:00"/>
    <x v="4"/>
    <n v="3"/>
    <n v="160"/>
    <x v="1"/>
    <n v="480"/>
  </r>
  <r>
    <n v="188"/>
    <d v="2025-02-13T00:00:00"/>
    <x v="3"/>
    <n v="2"/>
    <n v="240"/>
    <x v="3"/>
    <n v="480"/>
  </r>
  <r>
    <n v="189"/>
    <d v="2025-09-08T00:00:00"/>
    <x v="0"/>
    <n v="4"/>
    <n v="210"/>
    <x v="4"/>
    <n v="840"/>
  </r>
  <r>
    <n v="190"/>
    <d v="2025-11-27T00:00:00"/>
    <x v="1"/>
    <n v="4"/>
    <n v="85"/>
    <x v="2"/>
    <n v="340"/>
  </r>
  <r>
    <n v="191"/>
    <d v="2025-02-17T00:00:00"/>
    <x v="5"/>
    <n v="1"/>
    <n v="950"/>
    <x v="0"/>
    <n v="950"/>
  </r>
  <r>
    <n v="192"/>
    <d v="2025-12-21T00:00:00"/>
    <x v="1"/>
    <n v="4"/>
    <n v="85"/>
    <x v="3"/>
    <n v="340"/>
  </r>
  <r>
    <n v="193"/>
    <d v="2025-08-31T00:00:00"/>
    <x v="4"/>
    <n v="3"/>
    <n v="160"/>
    <x v="4"/>
    <n v="480"/>
  </r>
  <r>
    <n v="194"/>
    <d v="2025-08-06T00:00:00"/>
    <x v="3"/>
    <n v="3"/>
    <n v="240"/>
    <x v="4"/>
    <n v="720"/>
  </r>
  <r>
    <n v="195"/>
    <d v="2025-12-26T00:00:00"/>
    <x v="4"/>
    <n v="3"/>
    <n v="160"/>
    <x v="2"/>
    <n v="480"/>
  </r>
  <r>
    <n v="196"/>
    <d v="2025-05-09T00:00:00"/>
    <x v="4"/>
    <n v="3"/>
    <n v="160"/>
    <x v="3"/>
    <n v="480"/>
  </r>
  <r>
    <n v="197"/>
    <d v="2025-06-11T00:00:00"/>
    <x v="2"/>
    <n v="2"/>
    <n v="3200"/>
    <x v="1"/>
    <n v="6400"/>
  </r>
  <r>
    <n v="198"/>
    <d v="2025-04-09T00:00:00"/>
    <x v="0"/>
    <n v="2"/>
    <n v="210"/>
    <x v="3"/>
    <n v="420"/>
  </r>
  <r>
    <n v="199"/>
    <d v="2025-05-22T00:00:00"/>
    <x v="0"/>
    <n v="4"/>
    <n v="210"/>
    <x v="4"/>
    <n v="840"/>
  </r>
  <r>
    <n v="200"/>
    <d v="2025-02-21T00:00:00"/>
    <x v="3"/>
    <n v="3"/>
    <n v="240"/>
    <x v="3"/>
    <n v="720"/>
  </r>
  <r>
    <n v="201"/>
    <d v="2025-07-04T00:00:00"/>
    <x v="4"/>
    <n v="2"/>
    <n v="160"/>
    <x v="3"/>
    <n v="320"/>
  </r>
  <r>
    <n v="202"/>
    <d v="2025-12-29T00:00:00"/>
    <x v="4"/>
    <n v="1"/>
    <n v="160"/>
    <x v="4"/>
    <n v="160"/>
  </r>
  <r>
    <n v="203"/>
    <d v="2025-01-24T00:00:00"/>
    <x v="1"/>
    <n v="3"/>
    <n v="85"/>
    <x v="1"/>
    <n v="255"/>
  </r>
  <r>
    <n v="204"/>
    <d v="2025-12-24T00:00:00"/>
    <x v="3"/>
    <n v="3"/>
    <n v="240"/>
    <x v="3"/>
    <n v="720"/>
  </r>
  <r>
    <n v="205"/>
    <d v="2025-02-22T00:00:00"/>
    <x v="0"/>
    <n v="4"/>
    <n v="210"/>
    <x v="1"/>
    <n v="840"/>
  </r>
  <r>
    <n v="206"/>
    <d v="2025-08-29T00:00:00"/>
    <x v="3"/>
    <n v="3"/>
    <n v="240"/>
    <x v="2"/>
    <n v="720"/>
  </r>
  <r>
    <n v="207"/>
    <d v="2025-04-05T00:00:00"/>
    <x v="5"/>
    <n v="3"/>
    <n v="950"/>
    <x v="1"/>
    <n v="2850"/>
  </r>
  <r>
    <n v="208"/>
    <d v="2025-02-28T00:00:00"/>
    <x v="4"/>
    <n v="4"/>
    <n v="160"/>
    <x v="1"/>
    <n v="640"/>
  </r>
  <r>
    <n v="209"/>
    <d v="2025-02-07T00:00:00"/>
    <x v="5"/>
    <n v="4"/>
    <n v="950"/>
    <x v="4"/>
    <n v="3800"/>
  </r>
  <r>
    <n v="210"/>
    <d v="2025-03-19T00:00:00"/>
    <x v="0"/>
    <n v="1"/>
    <n v="210"/>
    <x v="3"/>
    <n v="210"/>
  </r>
  <r>
    <n v="211"/>
    <d v="2025-02-13T00:00:00"/>
    <x v="3"/>
    <n v="3"/>
    <n v="240"/>
    <x v="3"/>
    <n v="720"/>
  </r>
  <r>
    <n v="212"/>
    <d v="2025-11-07T00:00:00"/>
    <x v="2"/>
    <n v="4"/>
    <n v="3200"/>
    <x v="4"/>
    <n v="12800"/>
  </r>
  <r>
    <n v="213"/>
    <d v="2025-09-25T00:00:00"/>
    <x v="3"/>
    <n v="2"/>
    <n v="240"/>
    <x v="2"/>
    <n v="480"/>
  </r>
  <r>
    <n v="214"/>
    <d v="2025-06-02T00:00:00"/>
    <x v="5"/>
    <n v="4"/>
    <n v="950"/>
    <x v="4"/>
    <n v="3800"/>
  </r>
  <r>
    <n v="215"/>
    <d v="2025-10-19T00:00:00"/>
    <x v="5"/>
    <n v="3"/>
    <n v="950"/>
    <x v="4"/>
    <n v="2850"/>
  </r>
  <r>
    <n v="216"/>
    <d v="2025-04-17T00:00:00"/>
    <x v="2"/>
    <n v="1"/>
    <n v="3200"/>
    <x v="3"/>
    <n v="3200"/>
  </r>
  <r>
    <n v="217"/>
    <d v="2025-03-22T00:00:00"/>
    <x v="4"/>
    <n v="1"/>
    <n v="160"/>
    <x v="3"/>
    <n v="160"/>
  </r>
  <r>
    <n v="218"/>
    <d v="2025-03-22T00:00:00"/>
    <x v="1"/>
    <n v="1"/>
    <n v="85"/>
    <x v="1"/>
    <n v="85"/>
  </r>
  <r>
    <n v="219"/>
    <d v="2025-12-19T00:00:00"/>
    <x v="5"/>
    <n v="4"/>
    <n v="950"/>
    <x v="4"/>
    <n v="3800"/>
  </r>
  <r>
    <n v="220"/>
    <d v="2025-01-17T00:00:00"/>
    <x v="5"/>
    <n v="3"/>
    <n v="950"/>
    <x v="3"/>
    <n v="2850"/>
  </r>
  <r>
    <n v="221"/>
    <d v="2025-12-26T00:00:00"/>
    <x v="4"/>
    <n v="3"/>
    <n v="160"/>
    <x v="2"/>
    <n v="480"/>
  </r>
  <r>
    <n v="222"/>
    <d v="2025-05-16T00:00:00"/>
    <x v="2"/>
    <n v="2"/>
    <n v="3200"/>
    <x v="4"/>
    <n v="6400"/>
  </r>
  <r>
    <n v="223"/>
    <d v="2025-08-06T00:00:00"/>
    <x v="0"/>
    <n v="2"/>
    <n v="210"/>
    <x v="1"/>
    <n v="420"/>
  </r>
  <r>
    <n v="224"/>
    <d v="2025-11-28T00:00:00"/>
    <x v="3"/>
    <n v="2"/>
    <n v="240"/>
    <x v="3"/>
    <n v="480"/>
  </r>
  <r>
    <n v="225"/>
    <d v="2025-02-06T00:00:00"/>
    <x v="4"/>
    <n v="2"/>
    <n v="160"/>
    <x v="1"/>
    <n v="320"/>
  </r>
  <r>
    <n v="226"/>
    <d v="2025-11-01T00:00:00"/>
    <x v="1"/>
    <n v="3"/>
    <n v="85"/>
    <x v="4"/>
    <n v="255"/>
  </r>
  <r>
    <n v="227"/>
    <d v="2025-03-05T00:00:00"/>
    <x v="4"/>
    <n v="4"/>
    <n v="160"/>
    <x v="2"/>
    <n v="640"/>
  </r>
  <r>
    <n v="228"/>
    <d v="2025-12-25T00:00:00"/>
    <x v="0"/>
    <n v="3"/>
    <n v="210"/>
    <x v="2"/>
    <n v="630"/>
  </r>
  <r>
    <n v="229"/>
    <d v="2025-08-13T00:00:00"/>
    <x v="4"/>
    <n v="4"/>
    <n v="160"/>
    <x v="1"/>
    <n v="640"/>
  </r>
  <r>
    <n v="230"/>
    <d v="2025-08-10T00:00:00"/>
    <x v="3"/>
    <n v="1"/>
    <n v="240"/>
    <x v="0"/>
    <n v="240"/>
  </r>
  <r>
    <n v="231"/>
    <d v="2025-01-14T00:00:00"/>
    <x v="3"/>
    <n v="3"/>
    <n v="240"/>
    <x v="1"/>
    <n v="720"/>
  </r>
  <r>
    <n v="232"/>
    <d v="2025-12-11T00:00:00"/>
    <x v="1"/>
    <n v="1"/>
    <n v="85"/>
    <x v="0"/>
    <n v="85"/>
  </r>
  <r>
    <n v="233"/>
    <d v="2025-03-31T00:00:00"/>
    <x v="3"/>
    <n v="1"/>
    <n v="240"/>
    <x v="2"/>
    <n v="240"/>
  </r>
  <r>
    <n v="234"/>
    <d v="2025-05-23T00:00:00"/>
    <x v="3"/>
    <n v="4"/>
    <n v="240"/>
    <x v="3"/>
    <n v="960"/>
  </r>
  <r>
    <n v="235"/>
    <d v="2025-11-22T00:00:00"/>
    <x v="3"/>
    <n v="4"/>
    <n v="240"/>
    <x v="2"/>
    <n v="960"/>
  </r>
  <r>
    <n v="236"/>
    <d v="2025-06-28T00:00:00"/>
    <x v="2"/>
    <n v="4"/>
    <n v="3200"/>
    <x v="2"/>
    <n v="12800"/>
  </r>
  <r>
    <n v="237"/>
    <d v="2025-12-10T00:00:00"/>
    <x v="4"/>
    <n v="3"/>
    <n v="160"/>
    <x v="1"/>
    <n v="480"/>
  </r>
  <r>
    <n v="238"/>
    <d v="2025-07-30T00:00:00"/>
    <x v="1"/>
    <n v="3"/>
    <n v="85"/>
    <x v="2"/>
    <n v="255"/>
  </r>
  <r>
    <n v="239"/>
    <d v="2025-10-09T00:00:00"/>
    <x v="4"/>
    <n v="4"/>
    <n v="160"/>
    <x v="1"/>
    <n v="640"/>
  </r>
  <r>
    <n v="240"/>
    <d v="2025-06-11T00:00:00"/>
    <x v="5"/>
    <n v="1"/>
    <n v="950"/>
    <x v="0"/>
    <n v="950"/>
  </r>
  <r>
    <n v="241"/>
    <d v="2025-07-26T00:00:00"/>
    <x v="4"/>
    <n v="1"/>
    <n v="160"/>
    <x v="4"/>
    <n v="160"/>
  </r>
  <r>
    <n v="242"/>
    <d v="2025-07-31T00:00:00"/>
    <x v="2"/>
    <n v="4"/>
    <n v="3200"/>
    <x v="1"/>
    <n v="12800"/>
  </r>
  <r>
    <n v="243"/>
    <d v="2025-11-15T00:00:00"/>
    <x v="1"/>
    <n v="3"/>
    <n v="85"/>
    <x v="2"/>
    <n v="255"/>
  </r>
  <r>
    <n v="244"/>
    <d v="2025-01-27T00:00:00"/>
    <x v="0"/>
    <n v="4"/>
    <n v="210"/>
    <x v="3"/>
    <n v="840"/>
  </r>
  <r>
    <n v="245"/>
    <d v="2025-05-28T00:00:00"/>
    <x v="4"/>
    <n v="2"/>
    <n v="160"/>
    <x v="2"/>
    <n v="320"/>
  </r>
  <r>
    <n v="246"/>
    <d v="2025-03-04T00:00:00"/>
    <x v="0"/>
    <n v="4"/>
    <n v="210"/>
    <x v="1"/>
    <n v="840"/>
  </r>
  <r>
    <n v="247"/>
    <d v="2025-12-30T00:00:00"/>
    <x v="0"/>
    <n v="2"/>
    <n v="210"/>
    <x v="3"/>
    <n v="420"/>
  </r>
  <r>
    <n v="248"/>
    <d v="2025-10-10T00:00:00"/>
    <x v="4"/>
    <n v="1"/>
    <n v="160"/>
    <x v="2"/>
    <n v="160"/>
  </r>
  <r>
    <n v="249"/>
    <d v="2025-02-28T00:00:00"/>
    <x v="2"/>
    <n v="2"/>
    <n v="3200"/>
    <x v="2"/>
    <n v="6400"/>
  </r>
  <r>
    <n v="250"/>
    <d v="2025-09-13T00:00:00"/>
    <x v="2"/>
    <n v="2"/>
    <n v="3200"/>
    <x v="0"/>
    <n v="6400"/>
  </r>
  <r>
    <n v="251"/>
    <d v="2025-08-01T00:00:00"/>
    <x v="3"/>
    <n v="3"/>
    <n v="240"/>
    <x v="2"/>
    <n v="720"/>
  </r>
  <r>
    <n v="252"/>
    <d v="2025-08-22T00:00:00"/>
    <x v="5"/>
    <n v="2"/>
    <n v="950"/>
    <x v="4"/>
    <n v="1900"/>
  </r>
  <r>
    <n v="253"/>
    <d v="2025-04-08T00:00:00"/>
    <x v="1"/>
    <n v="4"/>
    <n v="85"/>
    <x v="4"/>
    <n v="340"/>
  </r>
  <r>
    <n v="254"/>
    <d v="2025-02-05T00:00:00"/>
    <x v="3"/>
    <n v="2"/>
    <n v="240"/>
    <x v="0"/>
    <n v="480"/>
  </r>
  <r>
    <n v="255"/>
    <d v="2025-09-17T00:00:00"/>
    <x v="5"/>
    <n v="3"/>
    <n v="950"/>
    <x v="0"/>
    <n v="2850"/>
  </r>
  <r>
    <n v="256"/>
    <d v="2025-06-02T00:00:00"/>
    <x v="2"/>
    <n v="3"/>
    <n v="3200"/>
    <x v="4"/>
    <n v="9600"/>
  </r>
  <r>
    <n v="257"/>
    <d v="2025-03-18T00:00:00"/>
    <x v="3"/>
    <n v="4"/>
    <n v="240"/>
    <x v="2"/>
    <n v="960"/>
  </r>
  <r>
    <n v="258"/>
    <d v="2025-06-26T00:00:00"/>
    <x v="3"/>
    <n v="4"/>
    <n v="240"/>
    <x v="0"/>
    <n v="960"/>
  </r>
  <r>
    <n v="259"/>
    <d v="2025-08-22T00:00:00"/>
    <x v="3"/>
    <n v="4"/>
    <n v="240"/>
    <x v="0"/>
    <n v="960"/>
  </r>
  <r>
    <n v="260"/>
    <d v="2025-10-20T00:00:00"/>
    <x v="1"/>
    <n v="2"/>
    <n v="85"/>
    <x v="2"/>
    <n v="170"/>
  </r>
  <r>
    <n v="261"/>
    <d v="2025-01-23T00:00:00"/>
    <x v="1"/>
    <n v="4"/>
    <n v="85"/>
    <x v="0"/>
    <n v="340"/>
  </r>
  <r>
    <n v="262"/>
    <d v="2025-12-28T00:00:00"/>
    <x v="0"/>
    <n v="4"/>
    <n v="210"/>
    <x v="2"/>
    <n v="840"/>
  </r>
  <r>
    <n v="263"/>
    <d v="2025-09-11T00:00:00"/>
    <x v="5"/>
    <n v="2"/>
    <n v="950"/>
    <x v="1"/>
    <n v="1900"/>
  </r>
  <r>
    <n v="264"/>
    <d v="2025-02-21T00:00:00"/>
    <x v="1"/>
    <n v="3"/>
    <n v="85"/>
    <x v="2"/>
    <n v="255"/>
  </r>
  <r>
    <n v="265"/>
    <d v="2025-01-08T00:00:00"/>
    <x v="2"/>
    <n v="4"/>
    <n v="3200"/>
    <x v="3"/>
    <n v="12800"/>
  </r>
  <r>
    <n v="266"/>
    <d v="2025-02-08T00:00:00"/>
    <x v="5"/>
    <n v="2"/>
    <n v="950"/>
    <x v="2"/>
    <n v="1900"/>
  </r>
  <r>
    <n v="267"/>
    <d v="2025-11-16T00:00:00"/>
    <x v="4"/>
    <n v="3"/>
    <n v="160"/>
    <x v="2"/>
    <n v="480"/>
  </r>
  <r>
    <n v="268"/>
    <d v="2025-06-18T00:00:00"/>
    <x v="0"/>
    <n v="1"/>
    <n v="210"/>
    <x v="4"/>
    <n v="210"/>
  </r>
  <r>
    <n v="269"/>
    <d v="2025-11-17T00:00:00"/>
    <x v="5"/>
    <n v="3"/>
    <n v="950"/>
    <x v="2"/>
    <n v="2850"/>
  </r>
  <r>
    <n v="270"/>
    <d v="2025-11-13T00:00:00"/>
    <x v="3"/>
    <n v="1"/>
    <n v="240"/>
    <x v="1"/>
    <n v="240"/>
  </r>
  <r>
    <n v="271"/>
    <d v="2025-04-27T00:00:00"/>
    <x v="1"/>
    <n v="3"/>
    <n v="85"/>
    <x v="1"/>
    <n v="255"/>
  </r>
  <r>
    <n v="272"/>
    <d v="2025-11-21T00:00:00"/>
    <x v="5"/>
    <n v="1"/>
    <n v="950"/>
    <x v="1"/>
    <n v="950"/>
  </r>
  <r>
    <n v="273"/>
    <d v="2025-12-22T00:00:00"/>
    <x v="5"/>
    <n v="2"/>
    <n v="950"/>
    <x v="0"/>
    <n v="1900"/>
  </r>
  <r>
    <n v="274"/>
    <d v="2025-06-16T00:00:00"/>
    <x v="2"/>
    <n v="1"/>
    <n v="3200"/>
    <x v="1"/>
    <n v="3200"/>
  </r>
  <r>
    <n v="275"/>
    <d v="2025-07-11T00:00:00"/>
    <x v="4"/>
    <n v="3"/>
    <n v="160"/>
    <x v="2"/>
    <n v="480"/>
  </r>
  <r>
    <n v="276"/>
    <d v="2025-09-29T00:00:00"/>
    <x v="1"/>
    <n v="2"/>
    <n v="85"/>
    <x v="2"/>
    <n v="170"/>
  </r>
  <r>
    <n v="277"/>
    <d v="2025-03-29T00:00:00"/>
    <x v="3"/>
    <n v="2"/>
    <n v="240"/>
    <x v="3"/>
    <n v="480"/>
  </r>
  <r>
    <n v="278"/>
    <d v="2025-11-14T00:00:00"/>
    <x v="2"/>
    <n v="4"/>
    <n v="3200"/>
    <x v="3"/>
    <n v="12800"/>
  </r>
  <r>
    <n v="279"/>
    <d v="2025-04-29T00:00:00"/>
    <x v="5"/>
    <n v="2"/>
    <n v="950"/>
    <x v="2"/>
    <n v="1900"/>
  </r>
  <r>
    <n v="280"/>
    <d v="2025-08-24T00:00:00"/>
    <x v="0"/>
    <n v="3"/>
    <n v="210"/>
    <x v="0"/>
    <n v="630"/>
  </r>
  <r>
    <n v="281"/>
    <d v="2025-08-27T00:00:00"/>
    <x v="0"/>
    <n v="1"/>
    <n v="210"/>
    <x v="0"/>
    <n v="210"/>
  </r>
  <r>
    <n v="282"/>
    <d v="2025-02-07T00:00:00"/>
    <x v="0"/>
    <n v="2"/>
    <n v="210"/>
    <x v="2"/>
    <n v="420"/>
  </r>
  <r>
    <n v="283"/>
    <d v="2025-11-24T00:00:00"/>
    <x v="4"/>
    <n v="3"/>
    <n v="160"/>
    <x v="2"/>
    <n v="480"/>
  </r>
  <r>
    <n v="284"/>
    <d v="2025-08-22T00:00:00"/>
    <x v="0"/>
    <n v="3"/>
    <n v="210"/>
    <x v="0"/>
    <n v="630"/>
  </r>
  <r>
    <n v="285"/>
    <d v="2025-09-05T00:00:00"/>
    <x v="1"/>
    <n v="4"/>
    <n v="85"/>
    <x v="1"/>
    <n v="340"/>
  </r>
  <r>
    <n v="286"/>
    <d v="2025-10-20T00:00:00"/>
    <x v="1"/>
    <n v="4"/>
    <n v="85"/>
    <x v="0"/>
    <n v="340"/>
  </r>
  <r>
    <n v="287"/>
    <d v="2025-12-25T00:00:00"/>
    <x v="3"/>
    <n v="3"/>
    <n v="240"/>
    <x v="0"/>
    <n v="720"/>
  </r>
  <r>
    <n v="288"/>
    <d v="2025-05-21T00:00:00"/>
    <x v="2"/>
    <n v="4"/>
    <n v="3200"/>
    <x v="1"/>
    <n v="12800"/>
  </r>
  <r>
    <n v="289"/>
    <d v="2025-11-07T00:00:00"/>
    <x v="3"/>
    <n v="1"/>
    <n v="240"/>
    <x v="2"/>
    <n v="240"/>
  </r>
  <r>
    <n v="290"/>
    <d v="2025-11-07T00:00:00"/>
    <x v="4"/>
    <n v="2"/>
    <n v="160"/>
    <x v="0"/>
    <n v="320"/>
  </r>
  <r>
    <n v="291"/>
    <d v="2025-11-14T00:00:00"/>
    <x v="1"/>
    <n v="2"/>
    <n v="85"/>
    <x v="0"/>
    <n v="170"/>
  </r>
  <r>
    <n v="292"/>
    <d v="2025-11-18T00:00:00"/>
    <x v="0"/>
    <n v="2"/>
    <n v="210"/>
    <x v="1"/>
    <n v="420"/>
  </r>
  <r>
    <n v="293"/>
    <d v="2025-06-08T00:00:00"/>
    <x v="0"/>
    <n v="1"/>
    <n v="210"/>
    <x v="2"/>
    <n v="210"/>
  </r>
  <r>
    <n v="294"/>
    <d v="2025-03-09T00:00:00"/>
    <x v="2"/>
    <n v="3"/>
    <n v="3200"/>
    <x v="1"/>
    <n v="9600"/>
  </r>
  <r>
    <n v="295"/>
    <d v="2025-08-01T00:00:00"/>
    <x v="4"/>
    <n v="3"/>
    <n v="160"/>
    <x v="3"/>
    <n v="480"/>
  </r>
  <r>
    <n v="296"/>
    <d v="2025-10-04T00:00:00"/>
    <x v="1"/>
    <n v="2"/>
    <n v="85"/>
    <x v="0"/>
    <n v="170"/>
  </r>
  <r>
    <n v="297"/>
    <d v="2025-03-26T00:00:00"/>
    <x v="3"/>
    <n v="3"/>
    <n v="240"/>
    <x v="0"/>
    <n v="720"/>
  </r>
  <r>
    <n v="298"/>
    <d v="2025-06-23T00:00:00"/>
    <x v="5"/>
    <n v="3"/>
    <n v="950"/>
    <x v="1"/>
    <n v="2850"/>
  </r>
  <r>
    <n v="299"/>
    <d v="2025-03-14T00:00:00"/>
    <x v="5"/>
    <n v="1"/>
    <n v="950"/>
    <x v="3"/>
    <n v="950"/>
  </r>
  <r>
    <n v="300"/>
    <d v="2025-10-13T00:00:00"/>
    <x v="0"/>
    <n v="4"/>
    <n v="210"/>
    <x v="0"/>
    <n v="8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A51D6-F5BB-4FA9-8A0A-4F2259496962}" name="Tabela dinâmica2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3:B10" firstHeaderRow="1" firstDataRow="1" firstDataCol="1"/>
  <pivotFields count="7">
    <pivotField showAll="0"/>
    <pivotField numFmtId="14" showAll="0"/>
    <pivotField axis="axisRow" showAll="0">
      <items count="7">
        <item x="3"/>
        <item x="5"/>
        <item x="1"/>
        <item x="2"/>
        <item x="4"/>
        <item x="0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faturamento" fld="6" baseField="0" baseItem="0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85E10-D0DC-4F46-B5C3-3B163533F5F8}" name="Tabela dinâmica3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>
  <location ref="A3:B9" firstHeaderRow="1" firstDataRow="1" firstDataCol="1"/>
  <pivotFields count="7">
    <pivotField showAll="0"/>
    <pivotField numFmtId="14" showAll="0"/>
    <pivotField showAll="0"/>
    <pivotField showAll="0"/>
    <pivotField showAll="0"/>
    <pivotField axis="axisRow" showAll="0" sortType="a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5"/>
  </rowFields>
  <rowItems count="6">
    <i>
      <x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Soma de faturamento" fld="6" baseField="0" baseItem="0" numFmtId="44"/>
  </dataFields>
  <formats count="6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5" type="button" dataOnly="0" labelOnly="1" outline="0" axis="axisRow" fieldPosition="0"/>
    </format>
    <format dxfId="44">
      <pivotArea dataOnly="0" labelOnly="1" fieldPosition="0">
        <references count="1">
          <reference field="5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</formats>
  <chartFormats count="6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84971-8DF5-43E1-A0C4-C0741B620E12}" name="tb_vendas" displayName="tb_vendas" ref="A1:G301" totalsRowShown="0">
  <autoFilter ref="A1:G301" xr:uid="{8FB84971-8DF5-43E1-A0C4-C0741B620E12}"/>
  <tableColumns count="7">
    <tableColumn id="1" xr3:uid="{1564514D-D1C4-4C16-A726-5F71D27876B1}" name="pedido_id"/>
    <tableColumn id="2" xr3:uid="{12F97673-7E59-4AE5-8F94-81D6ED68A403}" name="data" dataDxfId="48"/>
    <tableColumn id="3" xr3:uid="{90CE742E-3934-44D2-848D-7041ED2602C1}" name="produto"/>
    <tableColumn id="4" xr3:uid="{14878573-983B-4BF1-819A-74E00AEBF39F}" name="quantidade"/>
    <tableColumn id="5" xr3:uid="{2A00E492-2739-4EDB-A650-D445394B394A}" name="preco_unitario"/>
    <tableColumn id="6" xr3:uid="{7C2E2081-2B76-4173-8E94-4717CA1515AF}" name="regiao"/>
    <tableColumn id="7" xr3:uid="{9E8A1862-63C3-40A9-A25B-A67FF70A67CA}" name="faturamento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5073-EC1B-40BA-8BCB-830FBF412EBF}">
  <dimension ref="A3:B10"/>
  <sheetViews>
    <sheetView workbookViewId="0">
      <selection activeCell="E9" sqref="E9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21.7109375" bestFit="1" customWidth="1"/>
  </cols>
  <sheetData>
    <row r="3" spans="1:2" x14ac:dyDescent="0.25">
      <c r="A3" s="3" t="s">
        <v>23</v>
      </c>
      <c r="B3" t="s">
        <v>25</v>
      </c>
    </row>
    <row r="4" spans="1:2" x14ac:dyDescent="0.25">
      <c r="A4" s="4" t="s">
        <v>14</v>
      </c>
      <c r="B4" s="14">
        <v>27840</v>
      </c>
    </row>
    <row r="5" spans="1:2" x14ac:dyDescent="0.25">
      <c r="A5" s="4" t="s">
        <v>17</v>
      </c>
      <c r="B5" s="14">
        <v>107350</v>
      </c>
    </row>
    <row r="6" spans="1:2" x14ac:dyDescent="0.25">
      <c r="A6" s="4" t="s">
        <v>9</v>
      </c>
      <c r="B6" s="14">
        <v>11475</v>
      </c>
    </row>
    <row r="7" spans="1:2" x14ac:dyDescent="0.25">
      <c r="A7" s="4" t="s">
        <v>12</v>
      </c>
      <c r="B7" s="14">
        <v>368000</v>
      </c>
    </row>
    <row r="8" spans="1:2" x14ac:dyDescent="0.25">
      <c r="A8" s="4" t="s">
        <v>15</v>
      </c>
      <c r="B8" s="14">
        <v>22240</v>
      </c>
    </row>
    <row r="9" spans="1:2" x14ac:dyDescent="0.25">
      <c r="A9" s="4" t="s">
        <v>7</v>
      </c>
      <c r="B9" s="14">
        <v>29820</v>
      </c>
    </row>
    <row r="10" spans="1:2" x14ac:dyDescent="0.25">
      <c r="A10" s="4" t="s">
        <v>24</v>
      </c>
      <c r="B10" s="14">
        <v>566725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065F-4A21-4FB1-9845-2A0E23973C3D}">
  <dimension ref="A3:B9"/>
  <sheetViews>
    <sheetView workbookViewId="0">
      <selection activeCell="B4" sqref="A3:B9"/>
    </sheetView>
  </sheetViews>
  <sheetFormatPr defaultRowHeight="15" x14ac:dyDescent="0.25"/>
  <cols>
    <col min="1" max="1" width="20" bestFit="1" customWidth="1"/>
    <col min="2" max="2" width="22.140625" bestFit="1" customWidth="1"/>
  </cols>
  <sheetData>
    <row r="3" spans="1:2" x14ac:dyDescent="0.25">
      <c r="A3" s="11" t="s">
        <v>23</v>
      </c>
      <c r="B3" s="12" t="s">
        <v>25</v>
      </c>
    </row>
    <row r="4" spans="1:2" x14ac:dyDescent="0.25">
      <c r="A4" s="13" t="s">
        <v>13</v>
      </c>
      <c r="B4" s="12">
        <v>94805</v>
      </c>
    </row>
    <row r="5" spans="1:2" x14ac:dyDescent="0.25">
      <c r="A5" s="13" t="s">
        <v>16</v>
      </c>
      <c r="B5" s="12">
        <v>95065</v>
      </c>
    </row>
    <row r="6" spans="1:2" x14ac:dyDescent="0.25">
      <c r="A6" s="13" t="s">
        <v>8</v>
      </c>
      <c r="B6" s="12">
        <v>120930</v>
      </c>
    </row>
    <row r="7" spans="1:2" x14ac:dyDescent="0.25">
      <c r="A7" s="13" t="s">
        <v>11</v>
      </c>
      <c r="B7" s="12">
        <v>123750</v>
      </c>
    </row>
    <row r="8" spans="1:2" x14ac:dyDescent="0.25">
      <c r="A8" s="13" t="s">
        <v>10</v>
      </c>
      <c r="B8" s="12">
        <v>132175</v>
      </c>
    </row>
    <row r="9" spans="1:2" x14ac:dyDescent="0.25">
      <c r="A9" s="13" t="s">
        <v>24</v>
      </c>
      <c r="B9" s="12">
        <v>566725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9A4F-FCB4-4ABB-B95A-3D46CFFF1D2C}">
  <dimension ref="B2:N27"/>
  <sheetViews>
    <sheetView showGridLines="0" tabSelected="1" zoomScale="25" zoomScaleNormal="25" workbookViewId="0">
      <selection activeCell="AF77" sqref="AF77"/>
    </sheetView>
  </sheetViews>
  <sheetFormatPr defaultRowHeight="15" x14ac:dyDescent="0.25"/>
  <cols>
    <col min="2" max="2" width="46.5703125" bestFit="1" customWidth="1"/>
    <col min="4" max="4" width="17.5703125" bestFit="1" customWidth="1"/>
    <col min="6" max="6" width="13.28515625" bestFit="1" customWidth="1"/>
  </cols>
  <sheetData>
    <row r="2" spans="2:4" ht="24" x14ac:dyDescent="0.4">
      <c r="B2" s="7"/>
    </row>
    <row r="5" spans="2:4" x14ac:dyDescent="0.25">
      <c r="B5" s="8"/>
      <c r="C5" s="9"/>
      <c r="D5" s="8"/>
    </row>
    <row r="6" spans="2:4" x14ac:dyDescent="0.25">
      <c r="B6" s="8"/>
      <c r="C6" s="10"/>
      <c r="D6" s="8"/>
    </row>
    <row r="7" spans="2:4" x14ac:dyDescent="0.25">
      <c r="B7" s="8"/>
      <c r="C7" s="8"/>
      <c r="D7" s="8"/>
    </row>
    <row r="25" spans="3:14" x14ac:dyDescent="0.25">
      <c r="N25" s="6"/>
    </row>
    <row r="27" spans="3:14" ht="18.75" x14ac:dyDescent="0.3">
      <c r="C27" s="5"/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7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6576-B08F-4787-B8D6-E28AFB4E156E}">
  <dimension ref="A1:G301"/>
  <sheetViews>
    <sheetView workbookViewId="0">
      <selection activeCell="E6" sqref="E6"/>
    </sheetView>
  </sheetViews>
  <sheetFormatPr defaultRowHeight="15" x14ac:dyDescent="0.25"/>
  <cols>
    <col min="1" max="1" width="12.140625" bestFit="1" customWidth="1"/>
    <col min="2" max="3" width="10.42578125" bestFit="1" customWidth="1"/>
    <col min="4" max="4" width="13.42578125" bestFit="1" customWidth="1"/>
    <col min="5" max="5" width="16.42578125" bestFit="1" customWidth="1"/>
    <col min="6" max="6" width="12.42578125" bestFit="1" customWidth="1"/>
    <col min="7" max="7" width="1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45670</v>
      </c>
      <c r="C2" t="s">
        <v>7</v>
      </c>
      <c r="D2">
        <v>1</v>
      </c>
      <c r="E2">
        <v>210</v>
      </c>
      <c r="F2" t="s">
        <v>8</v>
      </c>
      <c r="G2">
        <v>210</v>
      </c>
    </row>
    <row r="3" spans="1:7" x14ac:dyDescent="0.25">
      <c r="A3">
        <v>2</v>
      </c>
      <c r="B3" s="1">
        <v>45729</v>
      </c>
      <c r="C3" t="s">
        <v>9</v>
      </c>
      <c r="D3">
        <v>2</v>
      </c>
      <c r="E3">
        <v>85</v>
      </c>
      <c r="F3" t="s">
        <v>10</v>
      </c>
      <c r="G3">
        <v>170</v>
      </c>
    </row>
    <row r="4" spans="1:7" x14ac:dyDescent="0.25">
      <c r="A4">
        <v>3</v>
      </c>
      <c r="B4" s="1">
        <v>45960</v>
      </c>
      <c r="C4" t="s">
        <v>7</v>
      </c>
      <c r="D4">
        <v>1</v>
      </c>
      <c r="E4">
        <v>210</v>
      </c>
      <c r="F4" s="6" t="s">
        <v>11</v>
      </c>
      <c r="G4">
        <v>210</v>
      </c>
    </row>
    <row r="5" spans="1:7" x14ac:dyDescent="0.25">
      <c r="A5">
        <v>4</v>
      </c>
      <c r="B5" s="1">
        <v>45705</v>
      </c>
      <c r="C5" t="s">
        <v>12</v>
      </c>
      <c r="D5">
        <v>1</v>
      </c>
      <c r="E5">
        <v>3200</v>
      </c>
      <c r="F5" t="s">
        <v>13</v>
      </c>
      <c r="G5">
        <v>3200</v>
      </c>
    </row>
    <row r="6" spans="1:7" x14ac:dyDescent="0.25">
      <c r="A6">
        <v>5</v>
      </c>
      <c r="B6" s="1">
        <v>45945</v>
      </c>
      <c r="C6" t="s">
        <v>9</v>
      </c>
      <c r="D6">
        <v>1</v>
      </c>
      <c r="E6" s="6">
        <v>85</v>
      </c>
      <c r="F6" t="s">
        <v>13</v>
      </c>
      <c r="G6">
        <v>85</v>
      </c>
    </row>
    <row r="7" spans="1:7" x14ac:dyDescent="0.25">
      <c r="A7">
        <v>6</v>
      </c>
      <c r="B7" s="1">
        <v>45770</v>
      </c>
      <c r="C7" t="s">
        <v>7</v>
      </c>
      <c r="D7">
        <v>4</v>
      </c>
      <c r="E7">
        <v>210</v>
      </c>
      <c r="F7" t="s">
        <v>11</v>
      </c>
      <c r="G7">
        <v>840</v>
      </c>
    </row>
    <row r="8" spans="1:7" x14ac:dyDescent="0.25">
      <c r="A8">
        <v>7</v>
      </c>
      <c r="B8" s="1">
        <v>45661</v>
      </c>
      <c r="C8" t="s">
        <v>14</v>
      </c>
      <c r="D8">
        <v>3</v>
      </c>
      <c r="E8">
        <v>240</v>
      </c>
      <c r="F8" t="s">
        <v>13</v>
      </c>
      <c r="G8">
        <v>720</v>
      </c>
    </row>
    <row r="9" spans="1:7" x14ac:dyDescent="0.25">
      <c r="A9">
        <v>8</v>
      </c>
      <c r="B9" s="1">
        <v>45832</v>
      </c>
      <c r="C9" t="s">
        <v>7</v>
      </c>
      <c r="D9">
        <v>4</v>
      </c>
      <c r="E9">
        <v>210</v>
      </c>
      <c r="F9" t="s">
        <v>8</v>
      </c>
      <c r="G9">
        <v>840</v>
      </c>
    </row>
    <row r="10" spans="1:7" x14ac:dyDescent="0.25">
      <c r="A10">
        <v>9</v>
      </c>
      <c r="B10" s="1">
        <v>45830</v>
      </c>
      <c r="C10" t="s">
        <v>9</v>
      </c>
      <c r="D10">
        <v>2</v>
      </c>
      <c r="E10">
        <v>85</v>
      </c>
      <c r="F10" t="s">
        <v>10</v>
      </c>
      <c r="G10">
        <v>170</v>
      </c>
    </row>
    <row r="11" spans="1:7" x14ac:dyDescent="0.25">
      <c r="A11">
        <v>10</v>
      </c>
      <c r="B11" s="1">
        <v>45707</v>
      </c>
      <c r="C11" t="s">
        <v>12</v>
      </c>
      <c r="D11">
        <v>4</v>
      </c>
      <c r="E11">
        <v>3200</v>
      </c>
      <c r="F11" t="s">
        <v>8</v>
      </c>
      <c r="G11">
        <v>12800</v>
      </c>
    </row>
    <row r="12" spans="1:7" x14ac:dyDescent="0.25">
      <c r="A12">
        <v>11</v>
      </c>
      <c r="B12" s="1">
        <v>45680</v>
      </c>
      <c r="C12" t="s">
        <v>15</v>
      </c>
      <c r="D12">
        <v>3</v>
      </c>
      <c r="E12">
        <v>160</v>
      </c>
      <c r="F12" t="s">
        <v>11</v>
      </c>
      <c r="G12">
        <v>480</v>
      </c>
    </row>
    <row r="13" spans="1:7" x14ac:dyDescent="0.25">
      <c r="A13">
        <v>12</v>
      </c>
      <c r="B13" s="1">
        <v>45851</v>
      </c>
      <c r="C13" t="s">
        <v>14</v>
      </c>
      <c r="D13">
        <v>1</v>
      </c>
      <c r="E13">
        <v>240</v>
      </c>
      <c r="F13" t="s">
        <v>10</v>
      </c>
      <c r="G13">
        <v>240</v>
      </c>
    </row>
    <row r="14" spans="1:7" x14ac:dyDescent="0.25">
      <c r="A14">
        <v>13</v>
      </c>
      <c r="B14" s="1">
        <v>45979</v>
      </c>
      <c r="C14" t="s">
        <v>14</v>
      </c>
      <c r="D14">
        <v>3</v>
      </c>
      <c r="E14">
        <v>240</v>
      </c>
      <c r="F14" t="s">
        <v>16</v>
      </c>
      <c r="G14">
        <v>720</v>
      </c>
    </row>
    <row r="15" spans="1:7" x14ac:dyDescent="0.25">
      <c r="A15">
        <v>14</v>
      </c>
      <c r="B15" s="1">
        <v>46018</v>
      </c>
      <c r="C15" t="s">
        <v>15</v>
      </c>
      <c r="D15">
        <v>2</v>
      </c>
      <c r="E15">
        <v>160</v>
      </c>
      <c r="F15" t="s">
        <v>10</v>
      </c>
      <c r="G15">
        <v>320</v>
      </c>
    </row>
    <row r="16" spans="1:7" x14ac:dyDescent="0.25">
      <c r="A16">
        <v>15</v>
      </c>
      <c r="B16" s="1">
        <v>45806</v>
      </c>
      <c r="C16" t="s">
        <v>12</v>
      </c>
      <c r="D16">
        <v>2</v>
      </c>
      <c r="E16">
        <v>3200</v>
      </c>
      <c r="F16" t="s">
        <v>10</v>
      </c>
      <c r="G16">
        <v>6400</v>
      </c>
    </row>
    <row r="17" spans="1:7" x14ac:dyDescent="0.25">
      <c r="A17">
        <v>16</v>
      </c>
      <c r="B17" s="1">
        <v>45852</v>
      </c>
      <c r="C17" t="s">
        <v>9</v>
      </c>
      <c r="D17">
        <v>1</v>
      </c>
      <c r="E17">
        <v>85</v>
      </c>
      <c r="F17" t="s">
        <v>8</v>
      </c>
      <c r="G17">
        <v>85</v>
      </c>
    </row>
    <row r="18" spans="1:7" x14ac:dyDescent="0.25">
      <c r="A18">
        <v>17</v>
      </c>
      <c r="B18" s="1">
        <v>45741</v>
      </c>
      <c r="C18" t="s">
        <v>17</v>
      </c>
      <c r="D18">
        <v>3</v>
      </c>
      <c r="E18">
        <v>950</v>
      </c>
      <c r="F18" t="s">
        <v>8</v>
      </c>
      <c r="G18">
        <v>2850</v>
      </c>
    </row>
    <row r="19" spans="1:7" x14ac:dyDescent="0.25">
      <c r="A19">
        <v>18</v>
      </c>
      <c r="B19" s="1">
        <v>46001</v>
      </c>
      <c r="C19" t="s">
        <v>15</v>
      </c>
      <c r="D19">
        <v>2</v>
      </c>
      <c r="E19">
        <v>160</v>
      </c>
      <c r="F19" t="s">
        <v>8</v>
      </c>
      <c r="G19">
        <v>320</v>
      </c>
    </row>
    <row r="20" spans="1:7" x14ac:dyDescent="0.25">
      <c r="A20">
        <v>19</v>
      </c>
      <c r="B20" s="1">
        <v>45969</v>
      </c>
      <c r="C20" t="s">
        <v>7</v>
      </c>
      <c r="D20">
        <v>1</v>
      </c>
      <c r="E20">
        <v>210</v>
      </c>
      <c r="F20" t="s">
        <v>13</v>
      </c>
      <c r="G20">
        <v>210</v>
      </c>
    </row>
    <row r="21" spans="1:7" x14ac:dyDescent="0.25">
      <c r="A21">
        <v>20</v>
      </c>
      <c r="B21" s="1">
        <v>45741</v>
      </c>
      <c r="C21" t="s">
        <v>14</v>
      </c>
      <c r="D21">
        <v>2</v>
      </c>
      <c r="E21">
        <v>240</v>
      </c>
      <c r="F21" t="s">
        <v>11</v>
      </c>
      <c r="G21">
        <v>480</v>
      </c>
    </row>
    <row r="22" spans="1:7" x14ac:dyDescent="0.25">
      <c r="A22">
        <v>21</v>
      </c>
      <c r="B22" s="1">
        <v>45985</v>
      </c>
      <c r="C22" t="s">
        <v>17</v>
      </c>
      <c r="D22">
        <v>3</v>
      </c>
      <c r="E22">
        <v>950</v>
      </c>
      <c r="F22" t="s">
        <v>16</v>
      </c>
      <c r="G22">
        <v>2850</v>
      </c>
    </row>
    <row r="23" spans="1:7" x14ac:dyDescent="0.25">
      <c r="A23">
        <v>22</v>
      </c>
      <c r="B23" s="1">
        <v>45686</v>
      </c>
      <c r="C23" t="s">
        <v>9</v>
      </c>
      <c r="D23">
        <v>3</v>
      </c>
      <c r="E23">
        <v>85</v>
      </c>
      <c r="F23" t="s">
        <v>13</v>
      </c>
      <c r="G23">
        <v>255</v>
      </c>
    </row>
    <row r="24" spans="1:7" x14ac:dyDescent="0.25">
      <c r="A24">
        <v>23</v>
      </c>
      <c r="B24" s="1">
        <v>45863</v>
      </c>
      <c r="C24" t="s">
        <v>12</v>
      </c>
      <c r="D24">
        <v>3</v>
      </c>
      <c r="E24">
        <v>3200</v>
      </c>
      <c r="F24" t="s">
        <v>8</v>
      </c>
      <c r="G24">
        <v>9600</v>
      </c>
    </row>
    <row r="25" spans="1:7" x14ac:dyDescent="0.25">
      <c r="A25">
        <v>24</v>
      </c>
      <c r="B25" s="1">
        <v>45948</v>
      </c>
      <c r="C25" t="s">
        <v>12</v>
      </c>
      <c r="D25">
        <v>2</v>
      </c>
      <c r="E25">
        <v>3200</v>
      </c>
      <c r="F25" t="s">
        <v>8</v>
      </c>
      <c r="G25">
        <v>6400</v>
      </c>
    </row>
    <row r="26" spans="1:7" x14ac:dyDescent="0.25">
      <c r="A26">
        <v>25</v>
      </c>
      <c r="B26" s="1">
        <v>45860</v>
      </c>
      <c r="C26" t="s">
        <v>9</v>
      </c>
      <c r="D26">
        <v>4</v>
      </c>
      <c r="E26">
        <v>85</v>
      </c>
      <c r="F26" t="s">
        <v>11</v>
      </c>
      <c r="G26">
        <v>340</v>
      </c>
    </row>
    <row r="27" spans="1:7" x14ac:dyDescent="0.25">
      <c r="A27">
        <v>26</v>
      </c>
      <c r="B27" s="1">
        <v>45729</v>
      </c>
      <c r="C27" t="s">
        <v>9</v>
      </c>
      <c r="D27">
        <v>3</v>
      </c>
      <c r="E27">
        <v>85</v>
      </c>
      <c r="F27" t="s">
        <v>13</v>
      </c>
      <c r="G27">
        <v>255</v>
      </c>
    </row>
    <row r="28" spans="1:7" x14ac:dyDescent="0.25">
      <c r="A28">
        <v>27</v>
      </c>
      <c r="B28" s="1">
        <v>45957</v>
      </c>
      <c r="C28" t="s">
        <v>7</v>
      </c>
      <c r="D28">
        <v>3</v>
      </c>
      <c r="E28">
        <v>210</v>
      </c>
      <c r="F28" t="s">
        <v>11</v>
      </c>
      <c r="G28">
        <v>630</v>
      </c>
    </row>
    <row r="29" spans="1:7" x14ac:dyDescent="0.25">
      <c r="A29">
        <v>28</v>
      </c>
      <c r="B29" s="1">
        <v>45843</v>
      </c>
      <c r="C29" t="s">
        <v>14</v>
      </c>
      <c r="D29">
        <v>4</v>
      </c>
      <c r="E29">
        <v>240</v>
      </c>
      <c r="F29" t="s">
        <v>13</v>
      </c>
      <c r="G29">
        <v>960</v>
      </c>
    </row>
    <row r="30" spans="1:7" x14ac:dyDescent="0.25">
      <c r="A30">
        <v>29</v>
      </c>
      <c r="B30" s="1">
        <v>45704</v>
      </c>
      <c r="C30" t="s">
        <v>9</v>
      </c>
      <c r="D30">
        <v>4</v>
      </c>
      <c r="E30">
        <v>85</v>
      </c>
      <c r="F30" t="s">
        <v>10</v>
      </c>
      <c r="G30">
        <v>340</v>
      </c>
    </row>
    <row r="31" spans="1:7" x14ac:dyDescent="0.25">
      <c r="A31">
        <v>30</v>
      </c>
      <c r="B31" s="1">
        <v>45979</v>
      </c>
      <c r="C31" t="s">
        <v>12</v>
      </c>
      <c r="D31">
        <v>2</v>
      </c>
      <c r="E31">
        <v>3200</v>
      </c>
      <c r="F31" t="s">
        <v>13</v>
      </c>
      <c r="G31">
        <v>6400</v>
      </c>
    </row>
    <row r="32" spans="1:7" x14ac:dyDescent="0.25">
      <c r="A32">
        <v>31</v>
      </c>
      <c r="B32" s="1">
        <v>45963</v>
      </c>
      <c r="C32" t="s">
        <v>7</v>
      </c>
      <c r="D32">
        <v>4</v>
      </c>
      <c r="E32">
        <v>210</v>
      </c>
      <c r="F32" t="s">
        <v>10</v>
      </c>
      <c r="G32">
        <v>840</v>
      </c>
    </row>
    <row r="33" spans="1:7" x14ac:dyDescent="0.25">
      <c r="A33">
        <v>32</v>
      </c>
      <c r="B33" s="1">
        <v>45963</v>
      </c>
      <c r="C33" t="s">
        <v>17</v>
      </c>
      <c r="D33">
        <v>4</v>
      </c>
      <c r="E33">
        <v>950</v>
      </c>
      <c r="F33" t="s">
        <v>11</v>
      </c>
      <c r="G33">
        <v>3800</v>
      </c>
    </row>
    <row r="34" spans="1:7" x14ac:dyDescent="0.25">
      <c r="A34">
        <v>33</v>
      </c>
      <c r="B34" s="1">
        <v>45941</v>
      </c>
      <c r="C34" t="s">
        <v>14</v>
      </c>
      <c r="D34">
        <v>3</v>
      </c>
      <c r="E34">
        <v>240</v>
      </c>
      <c r="F34" t="s">
        <v>10</v>
      </c>
      <c r="G34">
        <v>720</v>
      </c>
    </row>
    <row r="35" spans="1:7" x14ac:dyDescent="0.25">
      <c r="A35">
        <v>34</v>
      </c>
      <c r="B35" s="1">
        <v>46007</v>
      </c>
      <c r="C35" t="s">
        <v>7</v>
      </c>
      <c r="D35">
        <v>1</v>
      </c>
      <c r="E35">
        <v>210</v>
      </c>
      <c r="F35" t="s">
        <v>16</v>
      </c>
      <c r="G35">
        <v>210</v>
      </c>
    </row>
    <row r="36" spans="1:7" x14ac:dyDescent="0.25">
      <c r="A36">
        <v>35</v>
      </c>
      <c r="B36" s="1">
        <v>45715</v>
      </c>
      <c r="C36" t="s">
        <v>15</v>
      </c>
      <c r="D36">
        <v>3</v>
      </c>
      <c r="E36">
        <v>160</v>
      </c>
      <c r="F36" t="s">
        <v>8</v>
      </c>
      <c r="G36">
        <v>480</v>
      </c>
    </row>
    <row r="37" spans="1:7" x14ac:dyDescent="0.25">
      <c r="A37">
        <v>36</v>
      </c>
      <c r="B37" s="1">
        <v>45890</v>
      </c>
      <c r="C37" t="s">
        <v>17</v>
      </c>
      <c r="D37">
        <v>2</v>
      </c>
      <c r="E37">
        <v>950</v>
      </c>
      <c r="F37" t="s">
        <v>10</v>
      </c>
      <c r="G37">
        <v>1900</v>
      </c>
    </row>
    <row r="38" spans="1:7" x14ac:dyDescent="0.25">
      <c r="A38">
        <v>37</v>
      </c>
      <c r="B38" s="1">
        <v>45914</v>
      </c>
      <c r="C38" t="s">
        <v>7</v>
      </c>
      <c r="D38">
        <v>3</v>
      </c>
      <c r="E38">
        <v>210</v>
      </c>
      <c r="F38" t="s">
        <v>13</v>
      </c>
      <c r="G38">
        <v>630</v>
      </c>
    </row>
    <row r="39" spans="1:7" x14ac:dyDescent="0.25">
      <c r="A39">
        <v>38</v>
      </c>
      <c r="B39" s="1">
        <v>45978</v>
      </c>
      <c r="C39" t="s">
        <v>14</v>
      </c>
      <c r="D39">
        <v>1</v>
      </c>
      <c r="E39">
        <v>240</v>
      </c>
      <c r="F39" t="s">
        <v>8</v>
      </c>
      <c r="G39">
        <v>240</v>
      </c>
    </row>
    <row r="40" spans="1:7" x14ac:dyDescent="0.25">
      <c r="A40">
        <v>39</v>
      </c>
      <c r="B40" s="1">
        <v>45736</v>
      </c>
      <c r="C40" t="s">
        <v>7</v>
      </c>
      <c r="D40">
        <v>2</v>
      </c>
      <c r="E40">
        <v>210</v>
      </c>
      <c r="F40" t="s">
        <v>8</v>
      </c>
      <c r="G40">
        <v>420</v>
      </c>
    </row>
    <row r="41" spans="1:7" x14ac:dyDescent="0.25">
      <c r="A41">
        <v>40</v>
      </c>
      <c r="B41" s="1">
        <v>45964</v>
      </c>
      <c r="C41" t="s">
        <v>9</v>
      </c>
      <c r="D41">
        <v>1</v>
      </c>
      <c r="E41">
        <v>85</v>
      </c>
      <c r="F41" t="s">
        <v>8</v>
      </c>
      <c r="G41">
        <v>85</v>
      </c>
    </row>
    <row r="42" spans="1:7" x14ac:dyDescent="0.25">
      <c r="A42">
        <v>41</v>
      </c>
      <c r="B42" s="1">
        <v>45715</v>
      </c>
      <c r="C42" t="s">
        <v>17</v>
      </c>
      <c r="D42">
        <v>1</v>
      </c>
      <c r="E42">
        <v>950</v>
      </c>
      <c r="F42" t="s">
        <v>8</v>
      </c>
      <c r="G42">
        <v>950</v>
      </c>
    </row>
    <row r="43" spans="1:7" x14ac:dyDescent="0.25">
      <c r="A43">
        <v>42</v>
      </c>
      <c r="B43" s="1">
        <v>45687</v>
      </c>
      <c r="C43" t="s">
        <v>15</v>
      </c>
      <c r="D43">
        <v>2</v>
      </c>
      <c r="E43">
        <v>160</v>
      </c>
      <c r="F43" t="s">
        <v>13</v>
      </c>
      <c r="G43">
        <v>320</v>
      </c>
    </row>
    <row r="44" spans="1:7" x14ac:dyDescent="0.25">
      <c r="A44">
        <v>43</v>
      </c>
      <c r="B44" s="1">
        <v>45701</v>
      </c>
      <c r="C44" t="s">
        <v>14</v>
      </c>
      <c r="D44">
        <v>1</v>
      </c>
      <c r="E44">
        <v>240</v>
      </c>
      <c r="F44" t="s">
        <v>11</v>
      </c>
      <c r="G44">
        <v>240</v>
      </c>
    </row>
    <row r="45" spans="1:7" x14ac:dyDescent="0.25">
      <c r="A45">
        <v>44</v>
      </c>
      <c r="B45" s="1">
        <v>45723</v>
      </c>
      <c r="C45" t="s">
        <v>12</v>
      </c>
      <c r="D45">
        <v>2</v>
      </c>
      <c r="E45">
        <v>3200</v>
      </c>
      <c r="F45" t="s">
        <v>11</v>
      </c>
      <c r="G45">
        <v>6400</v>
      </c>
    </row>
    <row r="46" spans="1:7" x14ac:dyDescent="0.25">
      <c r="A46">
        <v>45</v>
      </c>
      <c r="B46" s="1">
        <v>45793</v>
      </c>
      <c r="C46" t="s">
        <v>14</v>
      </c>
      <c r="D46">
        <v>2</v>
      </c>
      <c r="E46">
        <v>240</v>
      </c>
      <c r="F46" t="s">
        <v>16</v>
      </c>
      <c r="G46">
        <v>480</v>
      </c>
    </row>
    <row r="47" spans="1:7" x14ac:dyDescent="0.25">
      <c r="A47">
        <v>46</v>
      </c>
      <c r="B47" s="1">
        <v>45766</v>
      </c>
      <c r="C47" t="s">
        <v>14</v>
      </c>
      <c r="D47">
        <v>4</v>
      </c>
      <c r="E47">
        <v>240</v>
      </c>
      <c r="F47" t="s">
        <v>16</v>
      </c>
      <c r="G47">
        <v>960</v>
      </c>
    </row>
    <row r="48" spans="1:7" x14ac:dyDescent="0.25">
      <c r="A48">
        <v>47</v>
      </c>
      <c r="B48" s="1">
        <v>45817</v>
      </c>
      <c r="C48" t="s">
        <v>7</v>
      </c>
      <c r="D48">
        <v>2</v>
      </c>
      <c r="E48">
        <v>210</v>
      </c>
      <c r="F48" t="s">
        <v>11</v>
      </c>
      <c r="G48">
        <v>420</v>
      </c>
    </row>
    <row r="49" spans="1:7" x14ac:dyDescent="0.25">
      <c r="A49">
        <v>48</v>
      </c>
      <c r="B49" s="1">
        <v>45882</v>
      </c>
      <c r="C49" t="s">
        <v>7</v>
      </c>
      <c r="D49">
        <v>3</v>
      </c>
      <c r="E49">
        <v>210</v>
      </c>
      <c r="F49" t="s">
        <v>16</v>
      </c>
      <c r="G49">
        <v>630</v>
      </c>
    </row>
    <row r="50" spans="1:7" x14ac:dyDescent="0.25">
      <c r="A50">
        <v>49</v>
      </c>
      <c r="B50" s="1">
        <v>45784</v>
      </c>
      <c r="C50" t="s">
        <v>17</v>
      </c>
      <c r="D50">
        <v>1</v>
      </c>
      <c r="E50">
        <v>950</v>
      </c>
      <c r="F50" t="s">
        <v>13</v>
      </c>
      <c r="G50">
        <v>950</v>
      </c>
    </row>
    <row r="51" spans="1:7" x14ac:dyDescent="0.25">
      <c r="A51">
        <v>50</v>
      </c>
      <c r="B51" s="1">
        <v>45668</v>
      </c>
      <c r="C51" t="s">
        <v>12</v>
      </c>
      <c r="D51">
        <v>3</v>
      </c>
      <c r="E51">
        <v>3200</v>
      </c>
      <c r="F51" t="s">
        <v>16</v>
      </c>
      <c r="G51">
        <v>9600</v>
      </c>
    </row>
    <row r="52" spans="1:7" x14ac:dyDescent="0.25">
      <c r="A52">
        <v>51</v>
      </c>
      <c r="B52" s="1">
        <v>45959</v>
      </c>
      <c r="C52" t="s">
        <v>14</v>
      </c>
      <c r="D52">
        <v>2</v>
      </c>
      <c r="E52">
        <v>240</v>
      </c>
      <c r="F52" t="s">
        <v>13</v>
      </c>
      <c r="G52">
        <v>480</v>
      </c>
    </row>
    <row r="53" spans="1:7" x14ac:dyDescent="0.25">
      <c r="A53">
        <v>52</v>
      </c>
      <c r="B53" s="1">
        <v>46020</v>
      </c>
      <c r="C53" t="s">
        <v>12</v>
      </c>
      <c r="D53">
        <v>1</v>
      </c>
      <c r="E53">
        <v>3200</v>
      </c>
      <c r="F53" t="s">
        <v>10</v>
      </c>
      <c r="G53">
        <v>3200</v>
      </c>
    </row>
    <row r="54" spans="1:7" x14ac:dyDescent="0.25">
      <c r="A54">
        <v>53</v>
      </c>
      <c r="B54" s="1">
        <v>45674</v>
      </c>
      <c r="C54" t="s">
        <v>9</v>
      </c>
      <c r="D54">
        <v>1</v>
      </c>
      <c r="E54">
        <v>85</v>
      </c>
      <c r="F54" t="s">
        <v>8</v>
      </c>
      <c r="G54">
        <v>85</v>
      </c>
    </row>
    <row r="55" spans="1:7" x14ac:dyDescent="0.25">
      <c r="A55">
        <v>54</v>
      </c>
      <c r="B55" s="1">
        <v>45800</v>
      </c>
      <c r="C55" t="s">
        <v>12</v>
      </c>
      <c r="D55">
        <v>2</v>
      </c>
      <c r="E55">
        <v>3200</v>
      </c>
      <c r="F55" t="s">
        <v>11</v>
      </c>
      <c r="G55">
        <v>6400</v>
      </c>
    </row>
    <row r="56" spans="1:7" x14ac:dyDescent="0.25">
      <c r="A56">
        <v>55</v>
      </c>
      <c r="B56" s="1">
        <v>45950</v>
      </c>
      <c r="C56" t="s">
        <v>9</v>
      </c>
      <c r="D56">
        <v>2</v>
      </c>
      <c r="E56">
        <v>85</v>
      </c>
      <c r="F56" t="s">
        <v>16</v>
      </c>
      <c r="G56">
        <v>170</v>
      </c>
    </row>
    <row r="57" spans="1:7" x14ac:dyDescent="0.25">
      <c r="A57">
        <v>56</v>
      </c>
      <c r="B57" s="1">
        <v>45900</v>
      </c>
      <c r="C57" t="s">
        <v>17</v>
      </c>
      <c r="D57">
        <v>2</v>
      </c>
      <c r="E57">
        <v>950</v>
      </c>
      <c r="F57" t="s">
        <v>11</v>
      </c>
      <c r="G57">
        <v>1900</v>
      </c>
    </row>
    <row r="58" spans="1:7" x14ac:dyDescent="0.25">
      <c r="A58">
        <v>57</v>
      </c>
      <c r="B58" s="1">
        <v>45707</v>
      </c>
      <c r="C58" t="s">
        <v>9</v>
      </c>
      <c r="D58">
        <v>1</v>
      </c>
      <c r="E58">
        <v>85</v>
      </c>
      <c r="F58" t="s">
        <v>11</v>
      </c>
      <c r="G58">
        <v>85</v>
      </c>
    </row>
    <row r="59" spans="1:7" x14ac:dyDescent="0.25">
      <c r="A59">
        <v>58</v>
      </c>
      <c r="B59" s="1">
        <v>45868</v>
      </c>
      <c r="C59" t="s">
        <v>15</v>
      </c>
      <c r="D59">
        <v>4</v>
      </c>
      <c r="E59">
        <v>160</v>
      </c>
      <c r="F59" t="s">
        <v>11</v>
      </c>
      <c r="G59">
        <v>640</v>
      </c>
    </row>
    <row r="60" spans="1:7" x14ac:dyDescent="0.25">
      <c r="A60">
        <v>59</v>
      </c>
      <c r="B60" s="1">
        <v>46002</v>
      </c>
      <c r="C60" t="s">
        <v>7</v>
      </c>
      <c r="D60">
        <v>1</v>
      </c>
      <c r="E60">
        <v>210</v>
      </c>
      <c r="F60" t="s">
        <v>10</v>
      </c>
      <c r="G60">
        <v>210</v>
      </c>
    </row>
    <row r="61" spans="1:7" x14ac:dyDescent="0.25">
      <c r="A61">
        <v>60</v>
      </c>
      <c r="B61" s="1">
        <v>45831</v>
      </c>
      <c r="C61" t="s">
        <v>12</v>
      </c>
      <c r="D61">
        <v>4</v>
      </c>
      <c r="E61">
        <v>3200</v>
      </c>
      <c r="F61" t="s">
        <v>10</v>
      </c>
      <c r="G61">
        <v>12800</v>
      </c>
    </row>
    <row r="62" spans="1:7" x14ac:dyDescent="0.25">
      <c r="A62">
        <v>61</v>
      </c>
      <c r="B62" s="1">
        <v>45755</v>
      </c>
      <c r="C62" t="s">
        <v>9</v>
      </c>
      <c r="D62">
        <v>2</v>
      </c>
      <c r="E62">
        <v>85</v>
      </c>
      <c r="F62" t="s">
        <v>16</v>
      </c>
      <c r="G62">
        <v>170</v>
      </c>
    </row>
    <row r="63" spans="1:7" x14ac:dyDescent="0.25">
      <c r="A63">
        <v>62</v>
      </c>
      <c r="B63" s="1">
        <v>45874</v>
      </c>
      <c r="C63" t="s">
        <v>17</v>
      </c>
      <c r="D63">
        <v>2</v>
      </c>
      <c r="E63">
        <v>950</v>
      </c>
      <c r="F63" t="s">
        <v>13</v>
      </c>
      <c r="G63">
        <v>1900</v>
      </c>
    </row>
    <row r="64" spans="1:7" x14ac:dyDescent="0.25">
      <c r="A64">
        <v>63</v>
      </c>
      <c r="B64" s="1">
        <v>45785</v>
      </c>
      <c r="C64" t="s">
        <v>15</v>
      </c>
      <c r="D64">
        <v>4</v>
      </c>
      <c r="E64">
        <v>160</v>
      </c>
      <c r="F64" t="s">
        <v>10</v>
      </c>
      <c r="G64">
        <v>640</v>
      </c>
    </row>
    <row r="65" spans="1:7" x14ac:dyDescent="0.25">
      <c r="A65">
        <v>64</v>
      </c>
      <c r="B65" s="1">
        <v>45683</v>
      </c>
      <c r="C65" t="s">
        <v>17</v>
      </c>
      <c r="D65">
        <v>1</v>
      </c>
      <c r="E65">
        <v>950</v>
      </c>
      <c r="F65" t="s">
        <v>16</v>
      </c>
      <c r="G65">
        <v>950</v>
      </c>
    </row>
    <row r="66" spans="1:7" x14ac:dyDescent="0.25">
      <c r="A66">
        <v>65</v>
      </c>
      <c r="B66" s="1">
        <v>45779</v>
      </c>
      <c r="C66" t="s">
        <v>12</v>
      </c>
      <c r="D66">
        <v>1</v>
      </c>
      <c r="E66">
        <v>3200</v>
      </c>
      <c r="F66" t="s">
        <v>13</v>
      </c>
      <c r="G66">
        <v>3200</v>
      </c>
    </row>
    <row r="67" spans="1:7" x14ac:dyDescent="0.25">
      <c r="A67">
        <v>66</v>
      </c>
      <c r="B67" s="1">
        <v>45904</v>
      </c>
      <c r="C67" t="s">
        <v>17</v>
      </c>
      <c r="D67">
        <v>4</v>
      </c>
      <c r="E67">
        <v>950</v>
      </c>
      <c r="F67" t="s">
        <v>13</v>
      </c>
      <c r="G67">
        <v>3800</v>
      </c>
    </row>
    <row r="68" spans="1:7" x14ac:dyDescent="0.25">
      <c r="A68">
        <v>67</v>
      </c>
      <c r="B68" s="1">
        <v>45742</v>
      </c>
      <c r="C68" t="s">
        <v>17</v>
      </c>
      <c r="D68">
        <v>1</v>
      </c>
      <c r="E68">
        <v>950</v>
      </c>
      <c r="F68" t="s">
        <v>11</v>
      </c>
      <c r="G68">
        <v>950</v>
      </c>
    </row>
    <row r="69" spans="1:7" x14ac:dyDescent="0.25">
      <c r="A69">
        <v>68</v>
      </c>
      <c r="B69" s="1">
        <v>45793</v>
      </c>
      <c r="C69" t="s">
        <v>12</v>
      </c>
      <c r="D69">
        <v>4</v>
      </c>
      <c r="E69">
        <v>3200</v>
      </c>
      <c r="F69" t="s">
        <v>11</v>
      </c>
      <c r="G69">
        <v>12800</v>
      </c>
    </row>
    <row r="70" spans="1:7" x14ac:dyDescent="0.25">
      <c r="A70">
        <v>69</v>
      </c>
      <c r="B70" s="1">
        <v>46014</v>
      </c>
      <c r="C70" t="s">
        <v>15</v>
      </c>
      <c r="D70">
        <v>4</v>
      </c>
      <c r="E70">
        <v>160</v>
      </c>
      <c r="F70" t="s">
        <v>16</v>
      </c>
      <c r="G70">
        <v>640</v>
      </c>
    </row>
    <row r="71" spans="1:7" x14ac:dyDescent="0.25">
      <c r="A71">
        <v>70</v>
      </c>
      <c r="B71" s="1">
        <v>45737</v>
      </c>
      <c r="C71" t="s">
        <v>7</v>
      </c>
      <c r="D71">
        <v>4</v>
      </c>
      <c r="E71">
        <v>210</v>
      </c>
      <c r="F71" t="s">
        <v>13</v>
      </c>
      <c r="G71">
        <v>840</v>
      </c>
    </row>
    <row r="72" spans="1:7" x14ac:dyDescent="0.25">
      <c r="A72">
        <v>71</v>
      </c>
      <c r="B72" s="1">
        <v>45687</v>
      </c>
      <c r="C72" t="s">
        <v>15</v>
      </c>
      <c r="D72">
        <v>2</v>
      </c>
      <c r="E72">
        <v>160</v>
      </c>
      <c r="F72" t="s">
        <v>16</v>
      </c>
      <c r="G72">
        <v>320</v>
      </c>
    </row>
    <row r="73" spans="1:7" x14ac:dyDescent="0.25">
      <c r="A73">
        <v>72</v>
      </c>
      <c r="B73" s="1">
        <v>45818</v>
      </c>
      <c r="C73" t="s">
        <v>7</v>
      </c>
      <c r="D73">
        <v>1</v>
      </c>
      <c r="E73">
        <v>210</v>
      </c>
      <c r="F73" t="s">
        <v>10</v>
      </c>
      <c r="G73">
        <v>210</v>
      </c>
    </row>
    <row r="74" spans="1:7" x14ac:dyDescent="0.25">
      <c r="A74">
        <v>73</v>
      </c>
      <c r="B74" s="1">
        <v>45915</v>
      </c>
      <c r="C74" t="s">
        <v>12</v>
      </c>
      <c r="D74">
        <v>4</v>
      </c>
      <c r="E74">
        <v>3200</v>
      </c>
      <c r="F74" t="s">
        <v>16</v>
      </c>
      <c r="G74">
        <v>12800</v>
      </c>
    </row>
    <row r="75" spans="1:7" x14ac:dyDescent="0.25">
      <c r="A75">
        <v>74</v>
      </c>
      <c r="B75" s="1">
        <v>45918</v>
      </c>
      <c r="C75" t="s">
        <v>9</v>
      </c>
      <c r="D75">
        <v>1</v>
      </c>
      <c r="E75">
        <v>85</v>
      </c>
      <c r="F75" t="s">
        <v>10</v>
      </c>
      <c r="G75">
        <v>85</v>
      </c>
    </row>
    <row r="76" spans="1:7" x14ac:dyDescent="0.25">
      <c r="A76">
        <v>75</v>
      </c>
      <c r="B76" s="1">
        <v>45962</v>
      </c>
      <c r="C76" t="s">
        <v>9</v>
      </c>
      <c r="D76">
        <v>1</v>
      </c>
      <c r="E76">
        <v>85</v>
      </c>
      <c r="F76" t="s">
        <v>10</v>
      </c>
      <c r="G76">
        <v>85</v>
      </c>
    </row>
    <row r="77" spans="1:7" x14ac:dyDescent="0.25">
      <c r="A77">
        <v>76</v>
      </c>
      <c r="B77" s="1">
        <v>45864</v>
      </c>
      <c r="C77" t="s">
        <v>7</v>
      </c>
      <c r="D77">
        <v>2</v>
      </c>
      <c r="E77">
        <v>210</v>
      </c>
      <c r="F77" t="s">
        <v>10</v>
      </c>
      <c r="G77">
        <v>420</v>
      </c>
    </row>
    <row r="78" spans="1:7" x14ac:dyDescent="0.25">
      <c r="A78">
        <v>77</v>
      </c>
      <c r="B78" s="1">
        <v>45954</v>
      </c>
      <c r="C78" t="s">
        <v>14</v>
      </c>
      <c r="D78">
        <v>2</v>
      </c>
      <c r="E78">
        <v>240</v>
      </c>
      <c r="F78" t="s">
        <v>16</v>
      </c>
      <c r="G78">
        <v>480</v>
      </c>
    </row>
    <row r="79" spans="1:7" x14ac:dyDescent="0.25">
      <c r="A79">
        <v>78</v>
      </c>
      <c r="B79" s="1">
        <v>45872</v>
      </c>
      <c r="C79" t="s">
        <v>12</v>
      </c>
      <c r="D79">
        <v>1</v>
      </c>
      <c r="E79">
        <v>3200</v>
      </c>
      <c r="F79" t="s">
        <v>16</v>
      </c>
      <c r="G79">
        <v>3200</v>
      </c>
    </row>
    <row r="80" spans="1:7" x14ac:dyDescent="0.25">
      <c r="A80">
        <v>79</v>
      </c>
      <c r="B80" s="1">
        <v>45791</v>
      </c>
      <c r="C80" t="s">
        <v>14</v>
      </c>
      <c r="D80">
        <v>3</v>
      </c>
      <c r="E80">
        <v>240</v>
      </c>
      <c r="F80" t="s">
        <v>13</v>
      </c>
      <c r="G80">
        <v>720</v>
      </c>
    </row>
    <row r="81" spans="1:7" x14ac:dyDescent="0.25">
      <c r="A81">
        <v>80</v>
      </c>
      <c r="B81" s="1">
        <v>45780</v>
      </c>
      <c r="C81" t="s">
        <v>7</v>
      </c>
      <c r="D81">
        <v>3</v>
      </c>
      <c r="E81">
        <v>210</v>
      </c>
      <c r="F81" t="s">
        <v>8</v>
      </c>
      <c r="G81">
        <v>630</v>
      </c>
    </row>
    <row r="82" spans="1:7" x14ac:dyDescent="0.25">
      <c r="A82">
        <v>81</v>
      </c>
      <c r="B82" s="1">
        <v>46001</v>
      </c>
      <c r="C82" t="s">
        <v>17</v>
      </c>
      <c r="D82">
        <v>2</v>
      </c>
      <c r="E82">
        <v>950</v>
      </c>
      <c r="F82" t="s">
        <v>8</v>
      </c>
      <c r="G82">
        <v>1900</v>
      </c>
    </row>
    <row r="83" spans="1:7" x14ac:dyDescent="0.25">
      <c r="A83">
        <v>82</v>
      </c>
      <c r="B83" s="1">
        <v>45695</v>
      </c>
      <c r="C83" t="s">
        <v>17</v>
      </c>
      <c r="D83">
        <v>3</v>
      </c>
      <c r="E83">
        <v>950</v>
      </c>
      <c r="F83" t="s">
        <v>10</v>
      </c>
      <c r="G83">
        <v>2850</v>
      </c>
    </row>
    <row r="84" spans="1:7" x14ac:dyDescent="0.25">
      <c r="A84">
        <v>83</v>
      </c>
      <c r="B84" s="1">
        <v>45695</v>
      </c>
      <c r="C84" t="s">
        <v>17</v>
      </c>
      <c r="D84">
        <v>1</v>
      </c>
      <c r="E84">
        <v>950</v>
      </c>
      <c r="F84" t="s">
        <v>16</v>
      </c>
      <c r="G84">
        <v>950</v>
      </c>
    </row>
    <row r="85" spans="1:7" x14ac:dyDescent="0.25">
      <c r="A85">
        <v>84</v>
      </c>
      <c r="B85" s="1">
        <v>45725</v>
      </c>
      <c r="C85" t="s">
        <v>9</v>
      </c>
      <c r="D85">
        <v>3</v>
      </c>
      <c r="E85">
        <v>85</v>
      </c>
      <c r="F85" t="s">
        <v>8</v>
      </c>
      <c r="G85">
        <v>255</v>
      </c>
    </row>
    <row r="86" spans="1:7" x14ac:dyDescent="0.25">
      <c r="A86">
        <v>85</v>
      </c>
      <c r="B86" s="1">
        <v>45847</v>
      </c>
      <c r="C86" t="s">
        <v>12</v>
      </c>
      <c r="D86">
        <v>2</v>
      </c>
      <c r="E86">
        <v>3200</v>
      </c>
      <c r="F86" t="s">
        <v>8</v>
      </c>
      <c r="G86">
        <v>6400</v>
      </c>
    </row>
    <row r="87" spans="1:7" x14ac:dyDescent="0.25">
      <c r="A87">
        <v>86</v>
      </c>
      <c r="B87" s="1">
        <v>45936</v>
      </c>
      <c r="C87" t="s">
        <v>9</v>
      </c>
      <c r="D87">
        <v>4</v>
      </c>
      <c r="E87">
        <v>85</v>
      </c>
      <c r="F87" t="s">
        <v>8</v>
      </c>
      <c r="G87">
        <v>340</v>
      </c>
    </row>
    <row r="88" spans="1:7" x14ac:dyDescent="0.25">
      <c r="A88">
        <v>87</v>
      </c>
      <c r="B88" s="1">
        <v>45999</v>
      </c>
      <c r="C88" t="s">
        <v>14</v>
      </c>
      <c r="D88">
        <v>1</v>
      </c>
      <c r="E88">
        <v>240</v>
      </c>
      <c r="F88" t="s">
        <v>16</v>
      </c>
      <c r="G88">
        <v>240</v>
      </c>
    </row>
    <row r="89" spans="1:7" x14ac:dyDescent="0.25">
      <c r="A89">
        <v>88</v>
      </c>
      <c r="B89" s="1">
        <v>45726</v>
      </c>
      <c r="C89" t="s">
        <v>15</v>
      </c>
      <c r="D89">
        <v>1</v>
      </c>
      <c r="E89">
        <v>160</v>
      </c>
      <c r="F89" t="s">
        <v>8</v>
      </c>
      <c r="G89">
        <v>160</v>
      </c>
    </row>
    <row r="90" spans="1:7" x14ac:dyDescent="0.25">
      <c r="A90">
        <v>89</v>
      </c>
      <c r="B90" s="1">
        <v>45941</v>
      </c>
      <c r="C90" t="s">
        <v>12</v>
      </c>
      <c r="D90">
        <v>1</v>
      </c>
      <c r="E90">
        <v>3200</v>
      </c>
      <c r="F90" t="s">
        <v>13</v>
      </c>
      <c r="G90">
        <v>3200</v>
      </c>
    </row>
    <row r="91" spans="1:7" x14ac:dyDescent="0.25">
      <c r="A91">
        <v>90</v>
      </c>
      <c r="B91" s="1">
        <v>45967</v>
      </c>
      <c r="C91" t="s">
        <v>15</v>
      </c>
      <c r="D91">
        <v>3</v>
      </c>
      <c r="E91">
        <v>160</v>
      </c>
      <c r="F91" t="s">
        <v>13</v>
      </c>
      <c r="G91">
        <v>480</v>
      </c>
    </row>
    <row r="92" spans="1:7" x14ac:dyDescent="0.25">
      <c r="A92">
        <v>91</v>
      </c>
      <c r="B92" s="1">
        <v>45762</v>
      </c>
      <c r="C92" t="s">
        <v>7</v>
      </c>
      <c r="D92">
        <v>3</v>
      </c>
      <c r="E92">
        <v>210</v>
      </c>
      <c r="F92" t="s">
        <v>8</v>
      </c>
      <c r="G92">
        <v>630</v>
      </c>
    </row>
    <row r="93" spans="1:7" x14ac:dyDescent="0.25">
      <c r="A93">
        <v>92</v>
      </c>
      <c r="B93" s="1">
        <v>45786</v>
      </c>
      <c r="C93" t="s">
        <v>14</v>
      </c>
      <c r="D93">
        <v>4</v>
      </c>
      <c r="E93">
        <v>240</v>
      </c>
      <c r="F93" t="s">
        <v>10</v>
      </c>
      <c r="G93">
        <v>960</v>
      </c>
    </row>
    <row r="94" spans="1:7" x14ac:dyDescent="0.25">
      <c r="A94">
        <v>93</v>
      </c>
      <c r="B94" s="1">
        <v>45799</v>
      </c>
      <c r="C94" t="s">
        <v>12</v>
      </c>
      <c r="D94">
        <v>4</v>
      </c>
      <c r="E94">
        <v>3200</v>
      </c>
      <c r="F94" t="s">
        <v>10</v>
      </c>
      <c r="G94">
        <v>12800</v>
      </c>
    </row>
    <row r="95" spans="1:7" x14ac:dyDescent="0.25">
      <c r="A95">
        <v>94</v>
      </c>
      <c r="B95" s="1">
        <v>45724</v>
      </c>
      <c r="C95" t="s">
        <v>12</v>
      </c>
      <c r="D95">
        <v>3</v>
      </c>
      <c r="E95">
        <v>3200</v>
      </c>
      <c r="F95" t="s">
        <v>8</v>
      </c>
      <c r="G95">
        <v>9600</v>
      </c>
    </row>
    <row r="96" spans="1:7" x14ac:dyDescent="0.25">
      <c r="A96">
        <v>95</v>
      </c>
      <c r="B96" s="1">
        <v>45940</v>
      </c>
      <c r="C96" t="s">
        <v>9</v>
      </c>
      <c r="D96">
        <v>4</v>
      </c>
      <c r="E96">
        <v>85</v>
      </c>
      <c r="F96" t="s">
        <v>11</v>
      </c>
      <c r="G96">
        <v>340</v>
      </c>
    </row>
    <row r="97" spans="1:7" x14ac:dyDescent="0.25">
      <c r="A97">
        <v>96</v>
      </c>
      <c r="B97" s="1">
        <v>45715</v>
      </c>
      <c r="C97" t="s">
        <v>14</v>
      </c>
      <c r="D97">
        <v>1</v>
      </c>
      <c r="E97">
        <v>240</v>
      </c>
      <c r="F97" t="s">
        <v>10</v>
      </c>
      <c r="G97">
        <v>240</v>
      </c>
    </row>
    <row r="98" spans="1:7" x14ac:dyDescent="0.25">
      <c r="A98">
        <v>97</v>
      </c>
      <c r="B98" s="1">
        <v>45937</v>
      </c>
      <c r="C98" t="s">
        <v>7</v>
      </c>
      <c r="D98">
        <v>2</v>
      </c>
      <c r="E98">
        <v>210</v>
      </c>
      <c r="F98" t="s">
        <v>10</v>
      </c>
      <c r="G98">
        <v>420</v>
      </c>
    </row>
    <row r="99" spans="1:7" x14ac:dyDescent="0.25">
      <c r="A99">
        <v>98</v>
      </c>
      <c r="B99" s="1">
        <v>45878</v>
      </c>
      <c r="C99" t="s">
        <v>15</v>
      </c>
      <c r="D99">
        <v>2</v>
      </c>
      <c r="E99">
        <v>160</v>
      </c>
      <c r="F99" t="s">
        <v>13</v>
      </c>
      <c r="G99">
        <v>320</v>
      </c>
    </row>
    <row r="100" spans="1:7" x14ac:dyDescent="0.25">
      <c r="A100">
        <v>99</v>
      </c>
      <c r="B100" s="1">
        <v>45844</v>
      </c>
      <c r="C100" t="s">
        <v>12</v>
      </c>
      <c r="D100">
        <v>3</v>
      </c>
      <c r="E100">
        <v>3200</v>
      </c>
      <c r="F100" t="s">
        <v>10</v>
      </c>
      <c r="G100">
        <v>9600</v>
      </c>
    </row>
    <row r="101" spans="1:7" x14ac:dyDescent="0.25">
      <c r="A101">
        <v>100</v>
      </c>
      <c r="B101" s="1">
        <v>46007</v>
      </c>
      <c r="C101" t="s">
        <v>15</v>
      </c>
      <c r="D101">
        <v>2</v>
      </c>
      <c r="E101">
        <v>160</v>
      </c>
      <c r="F101" t="s">
        <v>13</v>
      </c>
      <c r="G101">
        <v>320</v>
      </c>
    </row>
    <row r="102" spans="1:7" x14ac:dyDescent="0.25">
      <c r="A102">
        <v>101</v>
      </c>
      <c r="B102" s="1">
        <v>45839</v>
      </c>
      <c r="C102" t="s">
        <v>7</v>
      </c>
      <c r="D102">
        <v>1</v>
      </c>
      <c r="E102">
        <v>210</v>
      </c>
      <c r="F102" t="s">
        <v>16</v>
      </c>
      <c r="G102">
        <v>210</v>
      </c>
    </row>
    <row r="103" spans="1:7" x14ac:dyDescent="0.25">
      <c r="A103">
        <v>102</v>
      </c>
      <c r="B103" s="1">
        <v>45779</v>
      </c>
      <c r="C103" t="s">
        <v>17</v>
      </c>
      <c r="D103">
        <v>2</v>
      </c>
      <c r="E103">
        <v>950</v>
      </c>
      <c r="F103" t="s">
        <v>13</v>
      </c>
      <c r="G103">
        <v>1900</v>
      </c>
    </row>
    <row r="104" spans="1:7" x14ac:dyDescent="0.25">
      <c r="A104">
        <v>103</v>
      </c>
      <c r="B104" s="1">
        <v>45670</v>
      </c>
      <c r="C104" t="s">
        <v>9</v>
      </c>
      <c r="D104">
        <v>4</v>
      </c>
      <c r="E104">
        <v>85</v>
      </c>
      <c r="F104" t="s">
        <v>13</v>
      </c>
      <c r="G104">
        <v>340</v>
      </c>
    </row>
    <row r="105" spans="1:7" x14ac:dyDescent="0.25">
      <c r="A105">
        <v>104</v>
      </c>
      <c r="B105" s="1">
        <v>45868</v>
      </c>
      <c r="C105" t="s">
        <v>7</v>
      </c>
      <c r="D105">
        <v>3</v>
      </c>
      <c r="E105">
        <v>210</v>
      </c>
      <c r="F105" t="s">
        <v>13</v>
      </c>
      <c r="G105">
        <v>630</v>
      </c>
    </row>
    <row r="106" spans="1:7" x14ac:dyDescent="0.25">
      <c r="A106">
        <v>105</v>
      </c>
      <c r="B106" s="1">
        <v>46017</v>
      </c>
      <c r="C106" t="s">
        <v>15</v>
      </c>
      <c r="D106">
        <v>2</v>
      </c>
      <c r="E106">
        <v>160</v>
      </c>
      <c r="F106" t="s">
        <v>10</v>
      </c>
      <c r="G106">
        <v>320</v>
      </c>
    </row>
    <row r="107" spans="1:7" x14ac:dyDescent="0.25">
      <c r="A107">
        <v>106</v>
      </c>
      <c r="B107" s="1">
        <v>45898</v>
      </c>
      <c r="C107" t="s">
        <v>17</v>
      </c>
      <c r="D107">
        <v>1</v>
      </c>
      <c r="E107">
        <v>950</v>
      </c>
      <c r="F107" t="s">
        <v>13</v>
      </c>
      <c r="G107">
        <v>950</v>
      </c>
    </row>
    <row r="108" spans="1:7" x14ac:dyDescent="0.25">
      <c r="A108">
        <v>107</v>
      </c>
      <c r="B108" s="1">
        <v>45837</v>
      </c>
      <c r="C108" t="s">
        <v>9</v>
      </c>
      <c r="D108">
        <v>4</v>
      </c>
      <c r="E108">
        <v>85</v>
      </c>
      <c r="F108" t="s">
        <v>8</v>
      </c>
      <c r="G108">
        <v>340</v>
      </c>
    </row>
    <row r="109" spans="1:7" x14ac:dyDescent="0.25">
      <c r="A109">
        <v>108</v>
      </c>
      <c r="B109" s="1">
        <v>45670</v>
      </c>
      <c r="C109" t="s">
        <v>9</v>
      </c>
      <c r="D109">
        <v>2</v>
      </c>
      <c r="E109">
        <v>85</v>
      </c>
      <c r="F109" t="s">
        <v>13</v>
      </c>
      <c r="G109">
        <v>170</v>
      </c>
    </row>
    <row r="110" spans="1:7" x14ac:dyDescent="0.25">
      <c r="A110">
        <v>109</v>
      </c>
      <c r="B110" s="1">
        <v>45800</v>
      </c>
      <c r="C110" t="s">
        <v>17</v>
      </c>
      <c r="D110">
        <v>3</v>
      </c>
      <c r="E110">
        <v>950</v>
      </c>
      <c r="F110" t="s">
        <v>10</v>
      </c>
      <c r="G110">
        <v>2850</v>
      </c>
    </row>
    <row r="111" spans="1:7" x14ac:dyDescent="0.25">
      <c r="A111">
        <v>110</v>
      </c>
      <c r="B111" s="1">
        <v>45986</v>
      </c>
      <c r="C111" t="s">
        <v>15</v>
      </c>
      <c r="D111">
        <v>3</v>
      </c>
      <c r="E111">
        <v>160</v>
      </c>
      <c r="F111" t="s">
        <v>16</v>
      </c>
      <c r="G111">
        <v>480</v>
      </c>
    </row>
    <row r="112" spans="1:7" x14ac:dyDescent="0.25">
      <c r="A112">
        <v>111</v>
      </c>
      <c r="B112" s="1">
        <v>45672</v>
      </c>
      <c r="C112" t="s">
        <v>17</v>
      </c>
      <c r="D112">
        <v>3</v>
      </c>
      <c r="E112">
        <v>950</v>
      </c>
      <c r="F112" t="s">
        <v>10</v>
      </c>
      <c r="G112">
        <v>2850</v>
      </c>
    </row>
    <row r="113" spans="1:7" x14ac:dyDescent="0.25">
      <c r="A113">
        <v>112</v>
      </c>
      <c r="B113" s="1">
        <v>45955</v>
      </c>
      <c r="C113" t="s">
        <v>15</v>
      </c>
      <c r="D113">
        <v>2</v>
      </c>
      <c r="E113">
        <v>160</v>
      </c>
      <c r="F113" t="s">
        <v>8</v>
      </c>
      <c r="G113">
        <v>320</v>
      </c>
    </row>
    <row r="114" spans="1:7" x14ac:dyDescent="0.25">
      <c r="A114">
        <v>113</v>
      </c>
      <c r="B114" s="1">
        <v>45963</v>
      </c>
      <c r="C114" t="s">
        <v>12</v>
      </c>
      <c r="D114">
        <v>1</v>
      </c>
      <c r="E114">
        <v>3200</v>
      </c>
      <c r="F114" t="s">
        <v>11</v>
      </c>
      <c r="G114">
        <v>3200</v>
      </c>
    </row>
    <row r="115" spans="1:7" x14ac:dyDescent="0.25">
      <c r="A115">
        <v>114</v>
      </c>
      <c r="B115" s="1">
        <v>45881</v>
      </c>
      <c r="C115" t="s">
        <v>15</v>
      </c>
      <c r="D115">
        <v>3</v>
      </c>
      <c r="E115">
        <v>160</v>
      </c>
      <c r="F115" t="s">
        <v>16</v>
      </c>
      <c r="G115">
        <v>480</v>
      </c>
    </row>
    <row r="116" spans="1:7" x14ac:dyDescent="0.25">
      <c r="A116">
        <v>115</v>
      </c>
      <c r="B116" s="1">
        <v>45855</v>
      </c>
      <c r="C116" t="s">
        <v>14</v>
      </c>
      <c r="D116">
        <v>1</v>
      </c>
      <c r="E116">
        <v>240</v>
      </c>
      <c r="F116" t="s">
        <v>16</v>
      </c>
      <c r="G116">
        <v>240</v>
      </c>
    </row>
    <row r="117" spans="1:7" x14ac:dyDescent="0.25">
      <c r="A117">
        <v>116</v>
      </c>
      <c r="B117" s="1">
        <v>45680</v>
      </c>
      <c r="C117" t="s">
        <v>9</v>
      </c>
      <c r="D117">
        <v>3</v>
      </c>
      <c r="E117">
        <v>85</v>
      </c>
      <c r="F117" t="s">
        <v>11</v>
      </c>
      <c r="G117">
        <v>255</v>
      </c>
    </row>
    <row r="118" spans="1:7" x14ac:dyDescent="0.25">
      <c r="A118">
        <v>117</v>
      </c>
      <c r="B118" s="1">
        <v>45844</v>
      </c>
      <c r="C118" t="s">
        <v>12</v>
      </c>
      <c r="D118">
        <v>2</v>
      </c>
      <c r="E118">
        <v>3200</v>
      </c>
      <c r="F118" t="s">
        <v>11</v>
      </c>
      <c r="G118">
        <v>6400</v>
      </c>
    </row>
    <row r="119" spans="1:7" x14ac:dyDescent="0.25">
      <c r="A119">
        <v>118</v>
      </c>
      <c r="B119" s="1">
        <v>45977</v>
      </c>
      <c r="C119" t="s">
        <v>12</v>
      </c>
      <c r="D119">
        <v>3</v>
      </c>
      <c r="E119">
        <v>3200</v>
      </c>
      <c r="F119" t="s">
        <v>8</v>
      </c>
      <c r="G119">
        <v>9600</v>
      </c>
    </row>
    <row r="120" spans="1:7" x14ac:dyDescent="0.25">
      <c r="A120">
        <v>119</v>
      </c>
      <c r="B120" s="1">
        <v>45811</v>
      </c>
      <c r="C120" t="s">
        <v>7</v>
      </c>
      <c r="D120">
        <v>1</v>
      </c>
      <c r="E120">
        <v>210</v>
      </c>
      <c r="F120" t="s">
        <v>16</v>
      </c>
      <c r="G120">
        <v>210</v>
      </c>
    </row>
    <row r="121" spans="1:7" x14ac:dyDescent="0.25">
      <c r="A121">
        <v>120</v>
      </c>
      <c r="B121" s="1">
        <v>45825</v>
      </c>
      <c r="C121" t="s">
        <v>15</v>
      </c>
      <c r="D121">
        <v>4</v>
      </c>
      <c r="E121">
        <v>160</v>
      </c>
      <c r="F121" t="s">
        <v>11</v>
      </c>
      <c r="G121">
        <v>640</v>
      </c>
    </row>
    <row r="122" spans="1:7" x14ac:dyDescent="0.25">
      <c r="A122">
        <v>121</v>
      </c>
      <c r="B122" s="1">
        <v>45941</v>
      </c>
      <c r="C122" t="s">
        <v>7</v>
      </c>
      <c r="D122">
        <v>3</v>
      </c>
      <c r="E122">
        <v>210</v>
      </c>
      <c r="F122" t="s">
        <v>13</v>
      </c>
      <c r="G122">
        <v>630</v>
      </c>
    </row>
    <row r="123" spans="1:7" x14ac:dyDescent="0.25">
      <c r="A123">
        <v>122</v>
      </c>
      <c r="B123" s="1">
        <v>45998</v>
      </c>
      <c r="C123" t="s">
        <v>9</v>
      </c>
      <c r="D123">
        <v>4</v>
      </c>
      <c r="E123">
        <v>85</v>
      </c>
      <c r="F123" t="s">
        <v>11</v>
      </c>
      <c r="G123">
        <v>340</v>
      </c>
    </row>
    <row r="124" spans="1:7" x14ac:dyDescent="0.25">
      <c r="A124">
        <v>123</v>
      </c>
      <c r="B124" s="1">
        <v>45973</v>
      </c>
      <c r="C124" t="s">
        <v>7</v>
      </c>
      <c r="D124">
        <v>2</v>
      </c>
      <c r="E124">
        <v>210</v>
      </c>
      <c r="F124" t="s">
        <v>16</v>
      </c>
      <c r="G124">
        <v>420</v>
      </c>
    </row>
    <row r="125" spans="1:7" x14ac:dyDescent="0.25">
      <c r="A125">
        <v>124</v>
      </c>
      <c r="B125" s="1">
        <v>45938</v>
      </c>
      <c r="C125" t="s">
        <v>15</v>
      </c>
      <c r="D125">
        <v>4</v>
      </c>
      <c r="E125">
        <v>160</v>
      </c>
      <c r="F125" t="s">
        <v>10</v>
      </c>
      <c r="G125">
        <v>640</v>
      </c>
    </row>
    <row r="126" spans="1:7" x14ac:dyDescent="0.25">
      <c r="A126">
        <v>125</v>
      </c>
      <c r="B126" s="1">
        <v>45765</v>
      </c>
      <c r="C126" t="s">
        <v>15</v>
      </c>
      <c r="D126">
        <v>3</v>
      </c>
      <c r="E126">
        <v>160</v>
      </c>
      <c r="F126" t="s">
        <v>11</v>
      </c>
      <c r="G126">
        <v>480</v>
      </c>
    </row>
    <row r="127" spans="1:7" x14ac:dyDescent="0.25">
      <c r="A127">
        <v>126</v>
      </c>
      <c r="B127" s="1">
        <v>45896</v>
      </c>
      <c r="C127" t="s">
        <v>14</v>
      </c>
      <c r="D127">
        <v>3</v>
      </c>
      <c r="E127">
        <v>240</v>
      </c>
      <c r="F127" t="s">
        <v>11</v>
      </c>
      <c r="G127">
        <v>720</v>
      </c>
    </row>
    <row r="128" spans="1:7" x14ac:dyDescent="0.25">
      <c r="A128">
        <v>127</v>
      </c>
      <c r="B128" s="1">
        <v>45919</v>
      </c>
      <c r="C128" t="s">
        <v>17</v>
      </c>
      <c r="D128">
        <v>2</v>
      </c>
      <c r="E128">
        <v>950</v>
      </c>
      <c r="F128" t="s">
        <v>11</v>
      </c>
      <c r="G128">
        <v>1900</v>
      </c>
    </row>
    <row r="129" spans="1:7" x14ac:dyDescent="0.25">
      <c r="A129">
        <v>128</v>
      </c>
      <c r="B129" s="1">
        <v>45995</v>
      </c>
      <c r="C129" t="s">
        <v>7</v>
      </c>
      <c r="D129">
        <v>2</v>
      </c>
      <c r="E129">
        <v>210</v>
      </c>
      <c r="F129" t="s">
        <v>10</v>
      </c>
      <c r="G129">
        <v>420</v>
      </c>
    </row>
    <row r="130" spans="1:7" x14ac:dyDescent="0.25">
      <c r="A130">
        <v>129</v>
      </c>
      <c r="B130" s="1">
        <v>45705</v>
      </c>
      <c r="C130" t="s">
        <v>15</v>
      </c>
      <c r="D130">
        <v>3</v>
      </c>
      <c r="E130">
        <v>160</v>
      </c>
      <c r="F130" t="s">
        <v>13</v>
      </c>
      <c r="G130">
        <v>480</v>
      </c>
    </row>
    <row r="131" spans="1:7" x14ac:dyDescent="0.25">
      <c r="A131">
        <v>130</v>
      </c>
      <c r="B131" s="1">
        <v>45773</v>
      </c>
      <c r="C131" t="s">
        <v>7</v>
      </c>
      <c r="D131">
        <v>3</v>
      </c>
      <c r="E131">
        <v>210</v>
      </c>
      <c r="F131" t="s">
        <v>13</v>
      </c>
      <c r="G131">
        <v>630</v>
      </c>
    </row>
    <row r="132" spans="1:7" x14ac:dyDescent="0.25">
      <c r="A132">
        <v>131</v>
      </c>
      <c r="B132" s="1">
        <v>45681</v>
      </c>
      <c r="C132" t="s">
        <v>9</v>
      </c>
      <c r="D132">
        <v>1</v>
      </c>
      <c r="E132">
        <v>85</v>
      </c>
      <c r="F132" t="s">
        <v>13</v>
      </c>
      <c r="G132">
        <v>85</v>
      </c>
    </row>
    <row r="133" spans="1:7" x14ac:dyDescent="0.25">
      <c r="A133">
        <v>132</v>
      </c>
      <c r="B133" s="1">
        <v>45891</v>
      </c>
      <c r="C133" t="s">
        <v>17</v>
      </c>
      <c r="D133">
        <v>1</v>
      </c>
      <c r="E133">
        <v>950</v>
      </c>
      <c r="F133" t="s">
        <v>11</v>
      </c>
      <c r="G133">
        <v>950</v>
      </c>
    </row>
    <row r="134" spans="1:7" x14ac:dyDescent="0.25">
      <c r="A134">
        <v>133</v>
      </c>
      <c r="B134" s="1">
        <v>46014</v>
      </c>
      <c r="C134" t="s">
        <v>7</v>
      </c>
      <c r="D134">
        <v>2</v>
      </c>
      <c r="E134">
        <v>210</v>
      </c>
      <c r="F134" t="s">
        <v>11</v>
      </c>
      <c r="G134">
        <v>420</v>
      </c>
    </row>
    <row r="135" spans="1:7" x14ac:dyDescent="0.25">
      <c r="A135">
        <v>134</v>
      </c>
      <c r="B135" s="1">
        <v>45782</v>
      </c>
      <c r="C135" t="s">
        <v>17</v>
      </c>
      <c r="D135">
        <v>4</v>
      </c>
      <c r="E135">
        <v>950</v>
      </c>
      <c r="F135" t="s">
        <v>13</v>
      </c>
      <c r="G135">
        <v>3800</v>
      </c>
    </row>
    <row r="136" spans="1:7" x14ac:dyDescent="0.25">
      <c r="A136">
        <v>135</v>
      </c>
      <c r="B136" s="1">
        <v>45712</v>
      </c>
      <c r="C136" t="s">
        <v>7</v>
      </c>
      <c r="D136">
        <v>1</v>
      </c>
      <c r="E136">
        <v>210</v>
      </c>
      <c r="F136" t="s">
        <v>11</v>
      </c>
      <c r="G136">
        <v>210</v>
      </c>
    </row>
    <row r="137" spans="1:7" x14ac:dyDescent="0.25">
      <c r="A137">
        <v>136</v>
      </c>
      <c r="B137" s="1">
        <v>46014</v>
      </c>
      <c r="C137" t="s">
        <v>9</v>
      </c>
      <c r="D137">
        <v>2</v>
      </c>
      <c r="E137">
        <v>85</v>
      </c>
      <c r="F137" t="s">
        <v>16</v>
      </c>
      <c r="G137">
        <v>170</v>
      </c>
    </row>
    <row r="138" spans="1:7" x14ac:dyDescent="0.25">
      <c r="A138">
        <v>137</v>
      </c>
      <c r="B138" s="1">
        <v>45943</v>
      </c>
      <c r="C138" t="s">
        <v>17</v>
      </c>
      <c r="D138">
        <v>1</v>
      </c>
      <c r="E138">
        <v>950</v>
      </c>
      <c r="F138" t="s">
        <v>13</v>
      </c>
      <c r="G138">
        <v>950</v>
      </c>
    </row>
    <row r="139" spans="1:7" x14ac:dyDescent="0.25">
      <c r="A139">
        <v>138</v>
      </c>
      <c r="B139" s="1">
        <v>45726</v>
      </c>
      <c r="C139" t="s">
        <v>12</v>
      </c>
      <c r="D139">
        <v>4</v>
      </c>
      <c r="E139">
        <v>3200</v>
      </c>
      <c r="F139" t="s">
        <v>11</v>
      </c>
      <c r="G139">
        <v>12800</v>
      </c>
    </row>
    <row r="140" spans="1:7" x14ac:dyDescent="0.25">
      <c r="A140">
        <v>139</v>
      </c>
      <c r="B140" s="1">
        <v>45884</v>
      </c>
      <c r="C140" t="s">
        <v>7</v>
      </c>
      <c r="D140">
        <v>3</v>
      </c>
      <c r="E140">
        <v>210</v>
      </c>
      <c r="F140" t="s">
        <v>16</v>
      </c>
      <c r="G140">
        <v>630</v>
      </c>
    </row>
    <row r="141" spans="1:7" x14ac:dyDescent="0.25">
      <c r="A141">
        <v>140</v>
      </c>
      <c r="B141" s="1">
        <v>45938</v>
      </c>
      <c r="C141" t="s">
        <v>7</v>
      </c>
      <c r="D141">
        <v>4</v>
      </c>
      <c r="E141">
        <v>210</v>
      </c>
      <c r="F141" t="s">
        <v>11</v>
      </c>
      <c r="G141">
        <v>840</v>
      </c>
    </row>
    <row r="142" spans="1:7" x14ac:dyDescent="0.25">
      <c r="A142">
        <v>141</v>
      </c>
      <c r="B142" s="1">
        <v>45888</v>
      </c>
      <c r="C142" t="s">
        <v>9</v>
      </c>
      <c r="D142">
        <v>4</v>
      </c>
      <c r="E142">
        <v>85</v>
      </c>
      <c r="F142" t="s">
        <v>8</v>
      </c>
      <c r="G142">
        <v>340</v>
      </c>
    </row>
    <row r="143" spans="1:7" x14ac:dyDescent="0.25">
      <c r="A143">
        <v>142</v>
      </c>
      <c r="B143" s="1">
        <v>45924</v>
      </c>
      <c r="C143" t="s">
        <v>9</v>
      </c>
      <c r="D143">
        <v>3</v>
      </c>
      <c r="E143">
        <v>85</v>
      </c>
      <c r="F143" t="s">
        <v>11</v>
      </c>
      <c r="G143">
        <v>255</v>
      </c>
    </row>
    <row r="144" spans="1:7" x14ac:dyDescent="0.25">
      <c r="A144">
        <v>143</v>
      </c>
      <c r="B144" s="1">
        <v>45798</v>
      </c>
      <c r="C144" t="s">
        <v>7</v>
      </c>
      <c r="D144">
        <v>2</v>
      </c>
      <c r="E144">
        <v>210</v>
      </c>
      <c r="F144" t="s">
        <v>11</v>
      </c>
      <c r="G144">
        <v>420</v>
      </c>
    </row>
    <row r="145" spans="1:7" x14ac:dyDescent="0.25">
      <c r="A145">
        <v>144</v>
      </c>
      <c r="B145" s="1">
        <v>45778</v>
      </c>
      <c r="C145" t="s">
        <v>12</v>
      </c>
      <c r="D145">
        <v>3</v>
      </c>
      <c r="E145">
        <v>3200</v>
      </c>
      <c r="F145" t="s">
        <v>8</v>
      </c>
      <c r="G145">
        <v>9600</v>
      </c>
    </row>
    <row r="146" spans="1:7" x14ac:dyDescent="0.25">
      <c r="A146">
        <v>145</v>
      </c>
      <c r="B146" s="1">
        <v>45934</v>
      </c>
      <c r="C146" t="s">
        <v>15</v>
      </c>
      <c r="D146">
        <v>3</v>
      </c>
      <c r="E146">
        <v>160</v>
      </c>
      <c r="F146" t="s">
        <v>10</v>
      </c>
      <c r="G146">
        <v>480</v>
      </c>
    </row>
    <row r="147" spans="1:7" x14ac:dyDescent="0.25">
      <c r="A147">
        <v>146</v>
      </c>
      <c r="B147" s="1">
        <v>45776</v>
      </c>
      <c r="C147" t="s">
        <v>9</v>
      </c>
      <c r="D147">
        <v>2</v>
      </c>
      <c r="E147">
        <v>85</v>
      </c>
      <c r="F147" t="s">
        <v>11</v>
      </c>
      <c r="G147">
        <v>170</v>
      </c>
    </row>
    <row r="148" spans="1:7" x14ac:dyDescent="0.25">
      <c r="A148">
        <v>147</v>
      </c>
      <c r="B148" s="1">
        <v>46019</v>
      </c>
      <c r="C148" t="s">
        <v>7</v>
      </c>
      <c r="D148">
        <v>2</v>
      </c>
      <c r="E148">
        <v>210</v>
      </c>
      <c r="F148" t="s">
        <v>13</v>
      </c>
      <c r="G148">
        <v>420</v>
      </c>
    </row>
    <row r="149" spans="1:7" x14ac:dyDescent="0.25">
      <c r="A149">
        <v>148</v>
      </c>
      <c r="B149" s="1">
        <v>45866</v>
      </c>
      <c r="C149" t="s">
        <v>12</v>
      </c>
      <c r="D149">
        <v>4</v>
      </c>
      <c r="E149">
        <v>3200</v>
      </c>
      <c r="F149" t="s">
        <v>8</v>
      </c>
      <c r="G149">
        <v>12800</v>
      </c>
    </row>
    <row r="150" spans="1:7" x14ac:dyDescent="0.25">
      <c r="A150">
        <v>149</v>
      </c>
      <c r="B150" s="1">
        <v>45870</v>
      </c>
      <c r="C150" t="s">
        <v>14</v>
      </c>
      <c r="D150">
        <v>4</v>
      </c>
      <c r="E150">
        <v>240</v>
      </c>
      <c r="F150" t="s">
        <v>10</v>
      </c>
      <c r="G150">
        <v>960</v>
      </c>
    </row>
    <row r="151" spans="1:7" x14ac:dyDescent="0.25">
      <c r="A151">
        <v>150</v>
      </c>
      <c r="B151" s="1">
        <v>45857</v>
      </c>
      <c r="C151" t="s">
        <v>9</v>
      </c>
      <c r="D151">
        <v>4</v>
      </c>
      <c r="E151">
        <v>85</v>
      </c>
      <c r="F151" t="s">
        <v>16</v>
      </c>
      <c r="G151">
        <v>340</v>
      </c>
    </row>
    <row r="152" spans="1:7" x14ac:dyDescent="0.25">
      <c r="A152">
        <v>151</v>
      </c>
      <c r="B152" s="1">
        <v>45952</v>
      </c>
      <c r="C152" t="s">
        <v>7</v>
      </c>
      <c r="D152">
        <v>1</v>
      </c>
      <c r="E152">
        <v>210</v>
      </c>
      <c r="F152" t="s">
        <v>11</v>
      </c>
      <c r="G152">
        <v>210</v>
      </c>
    </row>
    <row r="153" spans="1:7" x14ac:dyDescent="0.25">
      <c r="A153">
        <v>152</v>
      </c>
      <c r="B153" s="1">
        <v>45838</v>
      </c>
      <c r="C153" t="s">
        <v>17</v>
      </c>
      <c r="D153">
        <v>1</v>
      </c>
      <c r="E153">
        <v>950</v>
      </c>
      <c r="F153" t="s">
        <v>8</v>
      </c>
      <c r="G153">
        <v>950</v>
      </c>
    </row>
    <row r="154" spans="1:7" x14ac:dyDescent="0.25">
      <c r="A154">
        <v>153</v>
      </c>
      <c r="B154" s="1">
        <v>45933</v>
      </c>
      <c r="C154" t="s">
        <v>17</v>
      </c>
      <c r="D154">
        <v>4</v>
      </c>
      <c r="E154">
        <v>950</v>
      </c>
      <c r="F154" t="s">
        <v>16</v>
      </c>
      <c r="G154">
        <v>3800</v>
      </c>
    </row>
    <row r="155" spans="1:7" x14ac:dyDescent="0.25">
      <c r="A155">
        <v>154</v>
      </c>
      <c r="B155" s="1">
        <v>45907</v>
      </c>
      <c r="C155" t="s">
        <v>14</v>
      </c>
      <c r="D155">
        <v>2</v>
      </c>
      <c r="E155">
        <v>240</v>
      </c>
      <c r="F155" t="s">
        <v>13</v>
      </c>
      <c r="G155">
        <v>480</v>
      </c>
    </row>
    <row r="156" spans="1:7" x14ac:dyDescent="0.25">
      <c r="A156">
        <v>155</v>
      </c>
      <c r="B156" s="1">
        <v>45906</v>
      </c>
      <c r="C156" t="s">
        <v>15</v>
      </c>
      <c r="D156">
        <v>4</v>
      </c>
      <c r="E156">
        <v>160</v>
      </c>
      <c r="F156" t="s">
        <v>10</v>
      </c>
      <c r="G156">
        <v>640</v>
      </c>
    </row>
    <row r="157" spans="1:7" x14ac:dyDescent="0.25">
      <c r="A157">
        <v>156</v>
      </c>
      <c r="B157" s="1">
        <v>46000</v>
      </c>
      <c r="C157" t="s">
        <v>17</v>
      </c>
      <c r="D157">
        <v>3</v>
      </c>
      <c r="E157">
        <v>950</v>
      </c>
      <c r="F157" t="s">
        <v>11</v>
      </c>
      <c r="G157">
        <v>2850</v>
      </c>
    </row>
    <row r="158" spans="1:7" x14ac:dyDescent="0.25">
      <c r="A158">
        <v>157</v>
      </c>
      <c r="B158" s="1">
        <v>45897</v>
      </c>
      <c r="C158" t="s">
        <v>7</v>
      </c>
      <c r="D158">
        <v>2</v>
      </c>
      <c r="E158">
        <v>210</v>
      </c>
      <c r="F158" t="s">
        <v>13</v>
      </c>
      <c r="G158">
        <v>420</v>
      </c>
    </row>
    <row r="159" spans="1:7" x14ac:dyDescent="0.25">
      <c r="A159">
        <v>158</v>
      </c>
      <c r="B159" s="1">
        <v>45859</v>
      </c>
      <c r="C159" t="s">
        <v>14</v>
      </c>
      <c r="D159">
        <v>1</v>
      </c>
      <c r="E159">
        <v>240</v>
      </c>
      <c r="F159" t="s">
        <v>16</v>
      </c>
      <c r="G159">
        <v>240</v>
      </c>
    </row>
    <row r="160" spans="1:7" x14ac:dyDescent="0.25">
      <c r="A160">
        <v>159</v>
      </c>
      <c r="B160" s="1">
        <v>45700</v>
      </c>
      <c r="C160" t="s">
        <v>14</v>
      </c>
      <c r="D160">
        <v>1</v>
      </c>
      <c r="E160">
        <v>240</v>
      </c>
      <c r="F160" t="s">
        <v>11</v>
      </c>
      <c r="G160">
        <v>240</v>
      </c>
    </row>
    <row r="161" spans="1:7" x14ac:dyDescent="0.25">
      <c r="A161">
        <v>160</v>
      </c>
      <c r="B161" s="1">
        <v>45751</v>
      </c>
      <c r="C161" t="s">
        <v>9</v>
      </c>
      <c r="D161">
        <v>4</v>
      </c>
      <c r="E161">
        <v>85</v>
      </c>
      <c r="F161" t="s">
        <v>10</v>
      </c>
      <c r="G161">
        <v>340</v>
      </c>
    </row>
    <row r="162" spans="1:7" x14ac:dyDescent="0.25">
      <c r="A162">
        <v>161</v>
      </c>
      <c r="B162" s="1">
        <v>45825</v>
      </c>
      <c r="C162" t="s">
        <v>15</v>
      </c>
      <c r="D162">
        <v>4</v>
      </c>
      <c r="E162">
        <v>160</v>
      </c>
      <c r="F162" t="s">
        <v>13</v>
      </c>
      <c r="G162">
        <v>640</v>
      </c>
    </row>
    <row r="163" spans="1:7" x14ac:dyDescent="0.25">
      <c r="A163">
        <v>162</v>
      </c>
      <c r="B163" s="1">
        <v>45830</v>
      </c>
      <c r="C163" t="s">
        <v>17</v>
      </c>
      <c r="D163">
        <v>3</v>
      </c>
      <c r="E163">
        <v>950</v>
      </c>
      <c r="F163" t="s">
        <v>11</v>
      </c>
      <c r="G163">
        <v>2850</v>
      </c>
    </row>
    <row r="164" spans="1:7" x14ac:dyDescent="0.25">
      <c r="A164">
        <v>163</v>
      </c>
      <c r="B164" s="1">
        <v>45787</v>
      </c>
      <c r="C164" t="s">
        <v>15</v>
      </c>
      <c r="D164">
        <v>4</v>
      </c>
      <c r="E164">
        <v>160</v>
      </c>
      <c r="F164" t="s">
        <v>10</v>
      </c>
      <c r="G164">
        <v>640</v>
      </c>
    </row>
    <row r="165" spans="1:7" x14ac:dyDescent="0.25">
      <c r="A165">
        <v>164</v>
      </c>
      <c r="B165" s="1">
        <v>45934</v>
      </c>
      <c r="C165" t="s">
        <v>17</v>
      </c>
      <c r="D165">
        <v>1</v>
      </c>
      <c r="E165">
        <v>950</v>
      </c>
      <c r="F165" t="s">
        <v>10</v>
      </c>
      <c r="G165">
        <v>950</v>
      </c>
    </row>
    <row r="166" spans="1:7" x14ac:dyDescent="0.25">
      <c r="A166">
        <v>165</v>
      </c>
      <c r="B166" s="1">
        <v>45990</v>
      </c>
      <c r="C166" t="s">
        <v>15</v>
      </c>
      <c r="D166">
        <v>2</v>
      </c>
      <c r="E166">
        <v>160</v>
      </c>
      <c r="F166" t="s">
        <v>10</v>
      </c>
      <c r="G166">
        <v>320</v>
      </c>
    </row>
    <row r="167" spans="1:7" x14ac:dyDescent="0.25">
      <c r="A167">
        <v>166</v>
      </c>
      <c r="B167" s="1">
        <v>45673</v>
      </c>
      <c r="C167" t="s">
        <v>7</v>
      </c>
      <c r="D167">
        <v>1</v>
      </c>
      <c r="E167">
        <v>210</v>
      </c>
      <c r="F167" t="s">
        <v>13</v>
      </c>
      <c r="G167">
        <v>210</v>
      </c>
    </row>
    <row r="168" spans="1:7" x14ac:dyDescent="0.25">
      <c r="A168">
        <v>167</v>
      </c>
      <c r="B168" s="1">
        <v>45976</v>
      </c>
      <c r="C168" t="s">
        <v>9</v>
      </c>
      <c r="D168">
        <v>1</v>
      </c>
      <c r="E168">
        <v>85</v>
      </c>
      <c r="F168" t="s">
        <v>13</v>
      </c>
      <c r="G168">
        <v>85</v>
      </c>
    </row>
    <row r="169" spans="1:7" x14ac:dyDescent="0.25">
      <c r="A169">
        <v>168</v>
      </c>
      <c r="B169" s="1">
        <v>45900</v>
      </c>
      <c r="C169" t="s">
        <v>9</v>
      </c>
      <c r="D169">
        <v>2</v>
      </c>
      <c r="E169">
        <v>85</v>
      </c>
      <c r="F169" t="s">
        <v>10</v>
      </c>
      <c r="G169">
        <v>170</v>
      </c>
    </row>
    <row r="170" spans="1:7" x14ac:dyDescent="0.25">
      <c r="A170">
        <v>169</v>
      </c>
      <c r="B170" s="1">
        <v>45896</v>
      </c>
      <c r="C170" t="s">
        <v>14</v>
      </c>
      <c r="D170">
        <v>2</v>
      </c>
      <c r="E170">
        <v>240</v>
      </c>
      <c r="F170" t="s">
        <v>8</v>
      </c>
      <c r="G170">
        <v>480</v>
      </c>
    </row>
    <row r="171" spans="1:7" x14ac:dyDescent="0.25">
      <c r="A171">
        <v>170</v>
      </c>
      <c r="B171" s="1">
        <v>45968</v>
      </c>
      <c r="C171" t="s">
        <v>15</v>
      </c>
      <c r="D171">
        <v>2</v>
      </c>
      <c r="E171">
        <v>160</v>
      </c>
      <c r="F171" t="s">
        <v>16</v>
      </c>
      <c r="G171">
        <v>320</v>
      </c>
    </row>
    <row r="172" spans="1:7" x14ac:dyDescent="0.25">
      <c r="A172">
        <v>171</v>
      </c>
      <c r="B172" s="1">
        <v>45741</v>
      </c>
      <c r="C172" t="s">
        <v>7</v>
      </c>
      <c r="D172">
        <v>1</v>
      </c>
      <c r="E172">
        <v>210</v>
      </c>
      <c r="F172" t="s">
        <v>8</v>
      </c>
      <c r="G172">
        <v>210</v>
      </c>
    </row>
    <row r="173" spans="1:7" x14ac:dyDescent="0.25">
      <c r="A173">
        <v>172</v>
      </c>
      <c r="B173" s="1">
        <v>45817</v>
      </c>
      <c r="C173" t="s">
        <v>12</v>
      </c>
      <c r="D173">
        <v>1</v>
      </c>
      <c r="E173">
        <v>3200</v>
      </c>
      <c r="F173" t="s">
        <v>16</v>
      </c>
      <c r="G173">
        <v>3200</v>
      </c>
    </row>
    <row r="174" spans="1:7" x14ac:dyDescent="0.25">
      <c r="A174">
        <v>173</v>
      </c>
      <c r="B174" s="1">
        <v>45861</v>
      </c>
      <c r="C174" t="s">
        <v>7</v>
      </c>
      <c r="D174">
        <v>4</v>
      </c>
      <c r="E174">
        <v>210</v>
      </c>
      <c r="F174" t="s">
        <v>13</v>
      </c>
      <c r="G174">
        <v>840</v>
      </c>
    </row>
    <row r="175" spans="1:7" x14ac:dyDescent="0.25">
      <c r="A175">
        <v>174</v>
      </c>
      <c r="B175" s="1">
        <v>45710</v>
      </c>
      <c r="C175" t="s">
        <v>12</v>
      </c>
      <c r="D175">
        <v>2</v>
      </c>
      <c r="E175">
        <v>3200</v>
      </c>
      <c r="F175" t="s">
        <v>8</v>
      </c>
      <c r="G175">
        <v>6400</v>
      </c>
    </row>
    <row r="176" spans="1:7" x14ac:dyDescent="0.25">
      <c r="A176">
        <v>175</v>
      </c>
      <c r="B176" s="1">
        <v>45947</v>
      </c>
      <c r="C176" t="s">
        <v>7</v>
      </c>
      <c r="D176">
        <v>1</v>
      </c>
      <c r="E176">
        <v>210</v>
      </c>
      <c r="F176" t="s">
        <v>10</v>
      </c>
      <c r="G176">
        <v>210</v>
      </c>
    </row>
    <row r="177" spans="1:7" x14ac:dyDescent="0.25">
      <c r="A177">
        <v>176</v>
      </c>
      <c r="B177" s="1">
        <v>45996</v>
      </c>
      <c r="C177" t="s">
        <v>15</v>
      </c>
      <c r="D177">
        <v>4</v>
      </c>
      <c r="E177">
        <v>160</v>
      </c>
      <c r="F177" t="s">
        <v>8</v>
      </c>
      <c r="G177">
        <v>640</v>
      </c>
    </row>
    <row r="178" spans="1:7" x14ac:dyDescent="0.25">
      <c r="A178">
        <v>177</v>
      </c>
      <c r="B178" s="1">
        <v>45664</v>
      </c>
      <c r="C178" t="s">
        <v>12</v>
      </c>
      <c r="D178">
        <v>3</v>
      </c>
      <c r="E178">
        <v>3200</v>
      </c>
      <c r="F178" t="s">
        <v>11</v>
      </c>
      <c r="G178">
        <v>9600</v>
      </c>
    </row>
    <row r="179" spans="1:7" x14ac:dyDescent="0.25">
      <c r="A179">
        <v>178</v>
      </c>
      <c r="B179" s="1">
        <v>45879</v>
      </c>
      <c r="C179" t="s">
        <v>17</v>
      </c>
      <c r="D179">
        <v>1</v>
      </c>
      <c r="E179">
        <v>950</v>
      </c>
      <c r="F179" t="s">
        <v>8</v>
      </c>
      <c r="G179">
        <v>950</v>
      </c>
    </row>
    <row r="180" spans="1:7" x14ac:dyDescent="0.25">
      <c r="A180">
        <v>179</v>
      </c>
      <c r="B180" s="1">
        <v>46020</v>
      </c>
      <c r="C180" t="s">
        <v>7</v>
      </c>
      <c r="D180">
        <v>4</v>
      </c>
      <c r="E180">
        <v>210</v>
      </c>
      <c r="F180" t="s">
        <v>13</v>
      </c>
      <c r="G180">
        <v>840</v>
      </c>
    </row>
    <row r="181" spans="1:7" x14ac:dyDescent="0.25">
      <c r="A181">
        <v>180</v>
      </c>
      <c r="B181" s="1">
        <v>45925</v>
      </c>
      <c r="C181" t="s">
        <v>17</v>
      </c>
      <c r="D181">
        <v>2</v>
      </c>
      <c r="E181">
        <v>950</v>
      </c>
      <c r="F181" t="s">
        <v>8</v>
      </c>
      <c r="G181">
        <v>1900</v>
      </c>
    </row>
    <row r="182" spans="1:7" x14ac:dyDescent="0.25">
      <c r="A182">
        <v>181</v>
      </c>
      <c r="B182" s="1">
        <v>45896</v>
      </c>
      <c r="C182" t="s">
        <v>14</v>
      </c>
      <c r="D182">
        <v>4</v>
      </c>
      <c r="E182">
        <v>240</v>
      </c>
      <c r="F182" t="s">
        <v>11</v>
      </c>
      <c r="G182">
        <v>960</v>
      </c>
    </row>
    <row r="183" spans="1:7" x14ac:dyDescent="0.25">
      <c r="A183">
        <v>182</v>
      </c>
      <c r="B183" s="1">
        <v>45823</v>
      </c>
      <c r="C183" t="s">
        <v>7</v>
      </c>
      <c r="D183">
        <v>3</v>
      </c>
      <c r="E183">
        <v>210</v>
      </c>
      <c r="F183" t="s">
        <v>13</v>
      </c>
      <c r="G183">
        <v>630</v>
      </c>
    </row>
    <row r="184" spans="1:7" x14ac:dyDescent="0.25">
      <c r="A184">
        <v>183</v>
      </c>
      <c r="B184" s="1">
        <v>45888</v>
      </c>
      <c r="C184" t="s">
        <v>12</v>
      </c>
      <c r="D184">
        <v>3</v>
      </c>
      <c r="E184">
        <v>3200</v>
      </c>
      <c r="F184" t="s">
        <v>13</v>
      </c>
      <c r="G184">
        <v>9600</v>
      </c>
    </row>
    <row r="185" spans="1:7" x14ac:dyDescent="0.25">
      <c r="A185">
        <v>184</v>
      </c>
      <c r="B185" s="1">
        <v>45830</v>
      </c>
      <c r="C185" t="s">
        <v>17</v>
      </c>
      <c r="D185">
        <v>4</v>
      </c>
      <c r="E185">
        <v>950</v>
      </c>
      <c r="F185" t="s">
        <v>10</v>
      </c>
      <c r="G185">
        <v>3800</v>
      </c>
    </row>
    <row r="186" spans="1:7" x14ac:dyDescent="0.25">
      <c r="A186">
        <v>185</v>
      </c>
      <c r="B186" s="1">
        <v>45751</v>
      </c>
      <c r="C186" t="s">
        <v>17</v>
      </c>
      <c r="D186">
        <v>3</v>
      </c>
      <c r="E186">
        <v>950</v>
      </c>
      <c r="F186" t="s">
        <v>11</v>
      </c>
      <c r="G186">
        <v>2850</v>
      </c>
    </row>
    <row r="187" spans="1:7" x14ac:dyDescent="0.25">
      <c r="A187">
        <v>186</v>
      </c>
      <c r="B187" s="1">
        <v>45790</v>
      </c>
      <c r="C187" t="s">
        <v>9</v>
      </c>
      <c r="D187">
        <v>3</v>
      </c>
      <c r="E187">
        <v>85</v>
      </c>
      <c r="F187" t="s">
        <v>8</v>
      </c>
      <c r="G187">
        <v>255</v>
      </c>
    </row>
    <row r="188" spans="1:7" x14ac:dyDescent="0.25">
      <c r="A188">
        <v>187</v>
      </c>
      <c r="B188" s="1">
        <v>45942</v>
      </c>
      <c r="C188" t="s">
        <v>15</v>
      </c>
      <c r="D188">
        <v>3</v>
      </c>
      <c r="E188">
        <v>160</v>
      </c>
      <c r="F188" t="s">
        <v>10</v>
      </c>
      <c r="G188">
        <v>480</v>
      </c>
    </row>
    <row r="189" spans="1:7" x14ac:dyDescent="0.25">
      <c r="A189">
        <v>188</v>
      </c>
      <c r="B189" s="1">
        <v>45701</v>
      </c>
      <c r="C189" t="s">
        <v>14</v>
      </c>
      <c r="D189">
        <v>2</v>
      </c>
      <c r="E189">
        <v>240</v>
      </c>
      <c r="F189" t="s">
        <v>13</v>
      </c>
      <c r="G189">
        <v>480</v>
      </c>
    </row>
    <row r="190" spans="1:7" x14ac:dyDescent="0.25">
      <c r="A190">
        <v>189</v>
      </c>
      <c r="B190" s="1">
        <v>45908</v>
      </c>
      <c r="C190" t="s">
        <v>7</v>
      </c>
      <c r="D190">
        <v>4</v>
      </c>
      <c r="E190">
        <v>210</v>
      </c>
      <c r="F190" t="s">
        <v>16</v>
      </c>
      <c r="G190">
        <v>840</v>
      </c>
    </row>
    <row r="191" spans="1:7" x14ac:dyDescent="0.25">
      <c r="A191">
        <v>190</v>
      </c>
      <c r="B191" s="1">
        <v>45988</v>
      </c>
      <c r="C191" t="s">
        <v>9</v>
      </c>
      <c r="D191">
        <v>4</v>
      </c>
      <c r="E191">
        <v>85</v>
      </c>
      <c r="F191" t="s">
        <v>11</v>
      </c>
      <c r="G191">
        <v>340</v>
      </c>
    </row>
    <row r="192" spans="1:7" x14ac:dyDescent="0.25">
      <c r="A192">
        <v>191</v>
      </c>
      <c r="B192" s="1">
        <v>45705</v>
      </c>
      <c r="C192" t="s">
        <v>17</v>
      </c>
      <c r="D192">
        <v>1</v>
      </c>
      <c r="E192">
        <v>950</v>
      </c>
      <c r="F192" t="s">
        <v>8</v>
      </c>
      <c r="G192">
        <v>950</v>
      </c>
    </row>
    <row r="193" spans="1:7" x14ac:dyDescent="0.25">
      <c r="A193">
        <v>192</v>
      </c>
      <c r="B193" s="1">
        <v>46012</v>
      </c>
      <c r="C193" t="s">
        <v>9</v>
      </c>
      <c r="D193">
        <v>4</v>
      </c>
      <c r="E193">
        <v>85</v>
      </c>
      <c r="F193" t="s">
        <v>13</v>
      </c>
      <c r="G193">
        <v>340</v>
      </c>
    </row>
    <row r="194" spans="1:7" x14ac:dyDescent="0.25">
      <c r="A194">
        <v>193</v>
      </c>
      <c r="B194" s="1">
        <v>45900</v>
      </c>
      <c r="C194" t="s">
        <v>15</v>
      </c>
      <c r="D194">
        <v>3</v>
      </c>
      <c r="E194">
        <v>160</v>
      </c>
      <c r="F194" t="s">
        <v>16</v>
      </c>
      <c r="G194">
        <v>480</v>
      </c>
    </row>
    <row r="195" spans="1:7" x14ac:dyDescent="0.25">
      <c r="A195">
        <v>194</v>
      </c>
      <c r="B195" s="1">
        <v>45875</v>
      </c>
      <c r="C195" t="s">
        <v>14</v>
      </c>
      <c r="D195">
        <v>3</v>
      </c>
      <c r="E195">
        <v>240</v>
      </c>
      <c r="F195" t="s">
        <v>16</v>
      </c>
      <c r="G195">
        <v>720</v>
      </c>
    </row>
    <row r="196" spans="1:7" x14ac:dyDescent="0.25">
      <c r="A196">
        <v>195</v>
      </c>
      <c r="B196" s="1">
        <v>46017</v>
      </c>
      <c r="C196" t="s">
        <v>15</v>
      </c>
      <c r="D196">
        <v>3</v>
      </c>
      <c r="E196">
        <v>160</v>
      </c>
      <c r="F196" t="s">
        <v>11</v>
      </c>
      <c r="G196">
        <v>480</v>
      </c>
    </row>
    <row r="197" spans="1:7" x14ac:dyDescent="0.25">
      <c r="A197">
        <v>196</v>
      </c>
      <c r="B197" s="1">
        <v>45786</v>
      </c>
      <c r="C197" t="s">
        <v>15</v>
      </c>
      <c r="D197">
        <v>3</v>
      </c>
      <c r="E197">
        <v>160</v>
      </c>
      <c r="F197" t="s">
        <v>13</v>
      </c>
      <c r="G197">
        <v>480</v>
      </c>
    </row>
    <row r="198" spans="1:7" x14ac:dyDescent="0.25">
      <c r="A198">
        <v>197</v>
      </c>
      <c r="B198" s="1">
        <v>45819</v>
      </c>
      <c r="C198" t="s">
        <v>12</v>
      </c>
      <c r="D198">
        <v>2</v>
      </c>
      <c r="E198">
        <v>3200</v>
      </c>
      <c r="F198" t="s">
        <v>10</v>
      </c>
      <c r="G198">
        <v>6400</v>
      </c>
    </row>
    <row r="199" spans="1:7" x14ac:dyDescent="0.25">
      <c r="A199">
        <v>198</v>
      </c>
      <c r="B199" s="1">
        <v>45756</v>
      </c>
      <c r="C199" t="s">
        <v>7</v>
      </c>
      <c r="D199">
        <v>2</v>
      </c>
      <c r="E199">
        <v>210</v>
      </c>
      <c r="F199" t="s">
        <v>13</v>
      </c>
      <c r="G199">
        <v>420</v>
      </c>
    </row>
    <row r="200" spans="1:7" x14ac:dyDescent="0.25">
      <c r="A200">
        <v>199</v>
      </c>
      <c r="B200" s="1">
        <v>45799</v>
      </c>
      <c r="C200" t="s">
        <v>7</v>
      </c>
      <c r="D200">
        <v>4</v>
      </c>
      <c r="E200">
        <v>210</v>
      </c>
      <c r="F200" t="s">
        <v>16</v>
      </c>
      <c r="G200">
        <v>840</v>
      </c>
    </row>
    <row r="201" spans="1:7" x14ac:dyDescent="0.25">
      <c r="A201">
        <v>200</v>
      </c>
      <c r="B201" s="1">
        <v>45709</v>
      </c>
      <c r="C201" t="s">
        <v>14</v>
      </c>
      <c r="D201">
        <v>3</v>
      </c>
      <c r="E201">
        <v>240</v>
      </c>
      <c r="F201" t="s">
        <v>13</v>
      </c>
      <c r="G201">
        <v>720</v>
      </c>
    </row>
    <row r="202" spans="1:7" x14ac:dyDescent="0.25">
      <c r="A202">
        <v>201</v>
      </c>
      <c r="B202" s="1">
        <v>45842</v>
      </c>
      <c r="C202" t="s">
        <v>15</v>
      </c>
      <c r="D202">
        <v>2</v>
      </c>
      <c r="E202">
        <v>160</v>
      </c>
      <c r="F202" t="s">
        <v>13</v>
      </c>
      <c r="G202">
        <v>320</v>
      </c>
    </row>
    <row r="203" spans="1:7" x14ac:dyDescent="0.25">
      <c r="A203">
        <v>202</v>
      </c>
      <c r="B203" s="1">
        <v>46020</v>
      </c>
      <c r="C203" t="s">
        <v>15</v>
      </c>
      <c r="D203">
        <v>1</v>
      </c>
      <c r="E203">
        <v>160</v>
      </c>
      <c r="F203" t="s">
        <v>16</v>
      </c>
      <c r="G203">
        <v>160</v>
      </c>
    </row>
    <row r="204" spans="1:7" x14ac:dyDescent="0.25">
      <c r="A204">
        <v>203</v>
      </c>
      <c r="B204" s="1">
        <v>45681</v>
      </c>
      <c r="C204" t="s">
        <v>9</v>
      </c>
      <c r="D204">
        <v>3</v>
      </c>
      <c r="E204">
        <v>85</v>
      </c>
      <c r="F204" t="s">
        <v>10</v>
      </c>
      <c r="G204">
        <v>255</v>
      </c>
    </row>
    <row r="205" spans="1:7" x14ac:dyDescent="0.25">
      <c r="A205">
        <v>204</v>
      </c>
      <c r="B205" s="1">
        <v>46015</v>
      </c>
      <c r="C205" t="s">
        <v>14</v>
      </c>
      <c r="D205">
        <v>3</v>
      </c>
      <c r="E205">
        <v>240</v>
      </c>
      <c r="F205" t="s">
        <v>13</v>
      </c>
      <c r="G205">
        <v>720</v>
      </c>
    </row>
    <row r="206" spans="1:7" x14ac:dyDescent="0.25">
      <c r="A206">
        <v>205</v>
      </c>
      <c r="B206" s="1">
        <v>45710</v>
      </c>
      <c r="C206" t="s">
        <v>7</v>
      </c>
      <c r="D206">
        <v>4</v>
      </c>
      <c r="E206">
        <v>210</v>
      </c>
      <c r="F206" t="s">
        <v>10</v>
      </c>
      <c r="G206">
        <v>840</v>
      </c>
    </row>
    <row r="207" spans="1:7" x14ac:dyDescent="0.25">
      <c r="A207">
        <v>206</v>
      </c>
      <c r="B207" s="1">
        <v>45898</v>
      </c>
      <c r="C207" t="s">
        <v>14</v>
      </c>
      <c r="D207">
        <v>3</v>
      </c>
      <c r="E207">
        <v>240</v>
      </c>
      <c r="F207" t="s">
        <v>11</v>
      </c>
      <c r="G207">
        <v>720</v>
      </c>
    </row>
    <row r="208" spans="1:7" x14ac:dyDescent="0.25">
      <c r="A208">
        <v>207</v>
      </c>
      <c r="B208" s="1">
        <v>45752</v>
      </c>
      <c r="C208" t="s">
        <v>17</v>
      </c>
      <c r="D208">
        <v>3</v>
      </c>
      <c r="E208">
        <v>950</v>
      </c>
      <c r="F208" t="s">
        <v>10</v>
      </c>
      <c r="G208">
        <v>2850</v>
      </c>
    </row>
    <row r="209" spans="1:7" x14ac:dyDescent="0.25">
      <c r="A209">
        <v>208</v>
      </c>
      <c r="B209" s="1">
        <v>45716</v>
      </c>
      <c r="C209" t="s">
        <v>15</v>
      </c>
      <c r="D209">
        <v>4</v>
      </c>
      <c r="E209">
        <v>160</v>
      </c>
      <c r="F209" t="s">
        <v>10</v>
      </c>
      <c r="G209">
        <v>640</v>
      </c>
    </row>
    <row r="210" spans="1:7" x14ac:dyDescent="0.25">
      <c r="A210">
        <v>209</v>
      </c>
      <c r="B210" s="1">
        <v>45695</v>
      </c>
      <c r="C210" t="s">
        <v>17</v>
      </c>
      <c r="D210">
        <v>4</v>
      </c>
      <c r="E210">
        <v>950</v>
      </c>
      <c r="F210" t="s">
        <v>16</v>
      </c>
      <c r="G210">
        <v>3800</v>
      </c>
    </row>
    <row r="211" spans="1:7" x14ac:dyDescent="0.25">
      <c r="A211">
        <v>210</v>
      </c>
      <c r="B211" s="1">
        <v>45735</v>
      </c>
      <c r="C211" t="s">
        <v>7</v>
      </c>
      <c r="D211">
        <v>1</v>
      </c>
      <c r="E211">
        <v>210</v>
      </c>
      <c r="F211" t="s">
        <v>13</v>
      </c>
      <c r="G211">
        <v>210</v>
      </c>
    </row>
    <row r="212" spans="1:7" x14ac:dyDescent="0.25">
      <c r="A212">
        <v>211</v>
      </c>
      <c r="B212" s="1">
        <v>45701</v>
      </c>
      <c r="C212" t="s">
        <v>14</v>
      </c>
      <c r="D212">
        <v>3</v>
      </c>
      <c r="E212">
        <v>240</v>
      </c>
      <c r="F212" t="s">
        <v>13</v>
      </c>
      <c r="G212">
        <v>720</v>
      </c>
    </row>
    <row r="213" spans="1:7" x14ac:dyDescent="0.25">
      <c r="A213">
        <v>212</v>
      </c>
      <c r="B213" s="1">
        <v>45968</v>
      </c>
      <c r="C213" t="s">
        <v>12</v>
      </c>
      <c r="D213">
        <v>4</v>
      </c>
      <c r="E213">
        <v>3200</v>
      </c>
      <c r="F213" t="s">
        <v>16</v>
      </c>
      <c r="G213">
        <v>12800</v>
      </c>
    </row>
    <row r="214" spans="1:7" x14ac:dyDescent="0.25">
      <c r="A214">
        <v>213</v>
      </c>
      <c r="B214" s="1">
        <v>45925</v>
      </c>
      <c r="C214" t="s">
        <v>14</v>
      </c>
      <c r="D214">
        <v>2</v>
      </c>
      <c r="E214">
        <v>240</v>
      </c>
      <c r="F214" t="s">
        <v>11</v>
      </c>
      <c r="G214">
        <v>480</v>
      </c>
    </row>
    <row r="215" spans="1:7" x14ac:dyDescent="0.25">
      <c r="A215">
        <v>214</v>
      </c>
      <c r="B215" s="1">
        <v>45810</v>
      </c>
      <c r="C215" t="s">
        <v>17</v>
      </c>
      <c r="D215">
        <v>4</v>
      </c>
      <c r="E215">
        <v>950</v>
      </c>
      <c r="F215" t="s">
        <v>16</v>
      </c>
      <c r="G215">
        <v>3800</v>
      </c>
    </row>
    <row r="216" spans="1:7" x14ac:dyDescent="0.25">
      <c r="A216">
        <v>215</v>
      </c>
      <c r="B216" s="1">
        <v>45949</v>
      </c>
      <c r="C216" t="s">
        <v>17</v>
      </c>
      <c r="D216">
        <v>3</v>
      </c>
      <c r="E216">
        <v>950</v>
      </c>
      <c r="F216" t="s">
        <v>16</v>
      </c>
      <c r="G216">
        <v>2850</v>
      </c>
    </row>
    <row r="217" spans="1:7" x14ac:dyDescent="0.25">
      <c r="A217">
        <v>216</v>
      </c>
      <c r="B217" s="1">
        <v>45764</v>
      </c>
      <c r="C217" t="s">
        <v>12</v>
      </c>
      <c r="D217">
        <v>1</v>
      </c>
      <c r="E217">
        <v>3200</v>
      </c>
      <c r="F217" t="s">
        <v>13</v>
      </c>
      <c r="G217">
        <v>3200</v>
      </c>
    </row>
    <row r="218" spans="1:7" x14ac:dyDescent="0.25">
      <c r="A218">
        <v>217</v>
      </c>
      <c r="B218" s="1">
        <v>45738</v>
      </c>
      <c r="C218" t="s">
        <v>15</v>
      </c>
      <c r="D218">
        <v>1</v>
      </c>
      <c r="E218">
        <v>160</v>
      </c>
      <c r="F218" t="s">
        <v>13</v>
      </c>
      <c r="G218">
        <v>160</v>
      </c>
    </row>
    <row r="219" spans="1:7" x14ac:dyDescent="0.25">
      <c r="A219">
        <v>218</v>
      </c>
      <c r="B219" s="1">
        <v>45738</v>
      </c>
      <c r="C219" t="s">
        <v>9</v>
      </c>
      <c r="D219">
        <v>1</v>
      </c>
      <c r="E219">
        <v>85</v>
      </c>
      <c r="F219" t="s">
        <v>10</v>
      </c>
      <c r="G219">
        <v>85</v>
      </c>
    </row>
    <row r="220" spans="1:7" x14ac:dyDescent="0.25">
      <c r="A220">
        <v>219</v>
      </c>
      <c r="B220" s="1">
        <v>46010</v>
      </c>
      <c r="C220" t="s">
        <v>17</v>
      </c>
      <c r="D220">
        <v>4</v>
      </c>
      <c r="E220">
        <v>950</v>
      </c>
      <c r="F220" t="s">
        <v>16</v>
      </c>
      <c r="G220">
        <v>3800</v>
      </c>
    </row>
    <row r="221" spans="1:7" x14ac:dyDescent="0.25">
      <c r="A221">
        <v>220</v>
      </c>
      <c r="B221" s="1">
        <v>45674</v>
      </c>
      <c r="C221" t="s">
        <v>17</v>
      </c>
      <c r="D221">
        <v>3</v>
      </c>
      <c r="E221">
        <v>950</v>
      </c>
      <c r="F221" t="s">
        <v>13</v>
      </c>
      <c r="G221">
        <v>2850</v>
      </c>
    </row>
    <row r="222" spans="1:7" x14ac:dyDescent="0.25">
      <c r="A222">
        <v>221</v>
      </c>
      <c r="B222" s="1">
        <v>46017</v>
      </c>
      <c r="C222" t="s">
        <v>15</v>
      </c>
      <c r="D222">
        <v>3</v>
      </c>
      <c r="E222">
        <v>160</v>
      </c>
      <c r="F222" t="s">
        <v>11</v>
      </c>
      <c r="G222">
        <v>480</v>
      </c>
    </row>
    <row r="223" spans="1:7" x14ac:dyDescent="0.25">
      <c r="A223">
        <v>222</v>
      </c>
      <c r="B223" s="1">
        <v>45793</v>
      </c>
      <c r="C223" t="s">
        <v>12</v>
      </c>
      <c r="D223">
        <v>2</v>
      </c>
      <c r="E223">
        <v>3200</v>
      </c>
      <c r="F223" t="s">
        <v>16</v>
      </c>
      <c r="G223">
        <v>6400</v>
      </c>
    </row>
    <row r="224" spans="1:7" x14ac:dyDescent="0.25">
      <c r="A224">
        <v>223</v>
      </c>
      <c r="B224" s="1">
        <v>45875</v>
      </c>
      <c r="C224" t="s">
        <v>7</v>
      </c>
      <c r="D224">
        <v>2</v>
      </c>
      <c r="E224">
        <v>210</v>
      </c>
      <c r="F224" t="s">
        <v>10</v>
      </c>
      <c r="G224">
        <v>420</v>
      </c>
    </row>
    <row r="225" spans="1:7" x14ac:dyDescent="0.25">
      <c r="A225">
        <v>224</v>
      </c>
      <c r="B225" s="1">
        <v>45989</v>
      </c>
      <c r="C225" t="s">
        <v>14</v>
      </c>
      <c r="D225">
        <v>2</v>
      </c>
      <c r="E225">
        <v>240</v>
      </c>
      <c r="F225" t="s">
        <v>13</v>
      </c>
      <c r="G225">
        <v>480</v>
      </c>
    </row>
    <row r="226" spans="1:7" x14ac:dyDescent="0.25">
      <c r="A226">
        <v>225</v>
      </c>
      <c r="B226" s="1">
        <v>45694</v>
      </c>
      <c r="C226" t="s">
        <v>15</v>
      </c>
      <c r="D226">
        <v>2</v>
      </c>
      <c r="E226">
        <v>160</v>
      </c>
      <c r="F226" t="s">
        <v>10</v>
      </c>
      <c r="G226">
        <v>320</v>
      </c>
    </row>
    <row r="227" spans="1:7" x14ac:dyDescent="0.25">
      <c r="A227">
        <v>226</v>
      </c>
      <c r="B227" s="1">
        <v>45962</v>
      </c>
      <c r="C227" t="s">
        <v>9</v>
      </c>
      <c r="D227">
        <v>3</v>
      </c>
      <c r="E227">
        <v>85</v>
      </c>
      <c r="F227" t="s">
        <v>16</v>
      </c>
      <c r="G227">
        <v>255</v>
      </c>
    </row>
    <row r="228" spans="1:7" x14ac:dyDescent="0.25">
      <c r="A228">
        <v>227</v>
      </c>
      <c r="B228" s="1">
        <v>45721</v>
      </c>
      <c r="C228" t="s">
        <v>15</v>
      </c>
      <c r="D228">
        <v>4</v>
      </c>
      <c r="E228">
        <v>160</v>
      </c>
      <c r="F228" t="s">
        <v>11</v>
      </c>
      <c r="G228">
        <v>640</v>
      </c>
    </row>
    <row r="229" spans="1:7" x14ac:dyDescent="0.25">
      <c r="A229">
        <v>228</v>
      </c>
      <c r="B229" s="1">
        <v>46016</v>
      </c>
      <c r="C229" t="s">
        <v>7</v>
      </c>
      <c r="D229">
        <v>3</v>
      </c>
      <c r="E229">
        <v>210</v>
      </c>
      <c r="F229" t="s">
        <v>11</v>
      </c>
      <c r="G229">
        <v>630</v>
      </c>
    </row>
    <row r="230" spans="1:7" x14ac:dyDescent="0.25">
      <c r="A230">
        <v>229</v>
      </c>
      <c r="B230" s="1">
        <v>45882</v>
      </c>
      <c r="C230" t="s">
        <v>15</v>
      </c>
      <c r="D230">
        <v>4</v>
      </c>
      <c r="E230">
        <v>160</v>
      </c>
      <c r="F230" t="s">
        <v>10</v>
      </c>
      <c r="G230">
        <v>640</v>
      </c>
    </row>
    <row r="231" spans="1:7" x14ac:dyDescent="0.25">
      <c r="A231">
        <v>230</v>
      </c>
      <c r="B231" s="1">
        <v>45879</v>
      </c>
      <c r="C231" t="s">
        <v>14</v>
      </c>
      <c r="D231">
        <v>1</v>
      </c>
      <c r="E231">
        <v>240</v>
      </c>
      <c r="F231" t="s">
        <v>8</v>
      </c>
      <c r="G231">
        <v>240</v>
      </c>
    </row>
    <row r="232" spans="1:7" x14ac:dyDescent="0.25">
      <c r="A232">
        <v>231</v>
      </c>
      <c r="B232" s="1">
        <v>45671</v>
      </c>
      <c r="C232" t="s">
        <v>14</v>
      </c>
      <c r="D232">
        <v>3</v>
      </c>
      <c r="E232">
        <v>240</v>
      </c>
      <c r="F232" t="s">
        <v>10</v>
      </c>
      <c r="G232">
        <v>720</v>
      </c>
    </row>
    <row r="233" spans="1:7" x14ac:dyDescent="0.25">
      <c r="A233">
        <v>232</v>
      </c>
      <c r="B233" s="1">
        <v>46002</v>
      </c>
      <c r="C233" t="s">
        <v>9</v>
      </c>
      <c r="D233">
        <v>1</v>
      </c>
      <c r="E233">
        <v>85</v>
      </c>
      <c r="F233" t="s">
        <v>8</v>
      </c>
      <c r="G233">
        <v>85</v>
      </c>
    </row>
    <row r="234" spans="1:7" x14ac:dyDescent="0.25">
      <c r="A234">
        <v>233</v>
      </c>
      <c r="B234" s="1">
        <v>45747</v>
      </c>
      <c r="C234" t="s">
        <v>14</v>
      </c>
      <c r="D234">
        <v>1</v>
      </c>
      <c r="E234">
        <v>240</v>
      </c>
      <c r="F234" t="s">
        <v>11</v>
      </c>
      <c r="G234">
        <v>240</v>
      </c>
    </row>
    <row r="235" spans="1:7" x14ac:dyDescent="0.25">
      <c r="A235">
        <v>234</v>
      </c>
      <c r="B235" s="1">
        <v>45800</v>
      </c>
      <c r="C235" t="s">
        <v>14</v>
      </c>
      <c r="D235">
        <v>4</v>
      </c>
      <c r="E235">
        <v>240</v>
      </c>
      <c r="F235" t="s">
        <v>13</v>
      </c>
      <c r="G235">
        <v>960</v>
      </c>
    </row>
    <row r="236" spans="1:7" x14ac:dyDescent="0.25">
      <c r="A236">
        <v>235</v>
      </c>
      <c r="B236" s="1">
        <v>45983</v>
      </c>
      <c r="C236" t="s">
        <v>14</v>
      </c>
      <c r="D236">
        <v>4</v>
      </c>
      <c r="E236">
        <v>240</v>
      </c>
      <c r="F236" t="s">
        <v>11</v>
      </c>
      <c r="G236">
        <v>960</v>
      </c>
    </row>
    <row r="237" spans="1:7" x14ac:dyDescent="0.25">
      <c r="A237">
        <v>236</v>
      </c>
      <c r="B237" s="1">
        <v>45836</v>
      </c>
      <c r="C237" t="s">
        <v>12</v>
      </c>
      <c r="D237">
        <v>4</v>
      </c>
      <c r="E237">
        <v>3200</v>
      </c>
      <c r="F237" t="s">
        <v>11</v>
      </c>
      <c r="G237">
        <v>12800</v>
      </c>
    </row>
    <row r="238" spans="1:7" x14ac:dyDescent="0.25">
      <c r="A238">
        <v>237</v>
      </c>
      <c r="B238" s="1">
        <v>46001</v>
      </c>
      <c r="C238" t="s">
        <v>15</v>
      </c>
      <c r="D238">
        <v>3</v>
      </c>
      <c r="E238">
        <v>160</v>
      </c>
      <c r="F238" t="s">
        <v>10</v>
      </c>
      <c r="G238">
        <v>480</v>
      </c>
    </row>
    <row r="239" spans="1:7" x14ac:dyDescent="0.25">
      <c r="A239">
        <v>238</v>
      </c>
      <c r="B239" s="1">
        <v>45868</v>
      </c>
      <c r="C239" t="s">
        <v>9</v>
      </c>
      <c r="D239">
        <v>3</v>
      </c>
      <c r="E239">
        <v>85</v>
      </c>
      <c r="F239" t="s">
        <v>11</v>
      </c>
      <c r="G239">
        <v>255</v>
      </c>
    </row>
    <row r="240" spans="1:7" x14ac:dyDescent="0.25">
      <c r="A240">
        <v>239</v>
      </c>
      <c r="B240" s="1">
        <v>45939</v>
      </c>
      <c r="C240" t="s">
        <v>15</v>
      </c>
      <c r="D240">
        <v>4</v>
      </c>
      <c r="E240">
        <v>160</v>
      </c>
      <c r="F240" t="s">
        <v>10</v>
      </c>
      <c r="G240">
        <v>640</v>
      </c>
    </row>
    <row r="241" spans="1:7" x14ac:dyDescent="0.25">
      <c r="A241">
        <v>240</v>
      </c>
      <c r="B241" s="1">
        <v>45819</v>
      </c>
      <c r="C241" t="s">
        <v>17</v>
      </c>
      <c r="D241">
        <v>1</v>
      </c>
      <c r="E241">
        <v>950</v>
      </c>
      <c r="F241" t="s">
        <v>8</v>
      </c>
      <c r="G241">
        <v>950</v>
      </c>
    </row>
    <row r="242" spans="1:7" x14ac:dyDescent="0.25">
      <c r="A242">
        <v>241</v>
      </c>
      <c r="B242" s="1">
        <v>45864</v>
      </c>
      <c r="C242" t="s">
        <v>15</v>
      </c>
      <c r="D242">
        <v>1</v>
      </c>
      <c r="E242">
        <v>160</v>
      </c>
      <c r="F242" t="s">
        <v>16</v>
      </c>
      <c r="G242">
        <v>160</v>
      </c>
    </row>
    <row r="243" spans="1:7" x14ac:dyDescent="0.25">
      <c r="A243">
        <v>242</v>
      </c>
      <c r="B243" s="1">
        <v>45869</v>
      </c>
      <c r="C243" t="s">
        <v>12</v>
      </c>
      <c r="D243">
        <v>4</v>
      </c>
      <c r="E243">
        <v>3200</v>
      </c>
      <c r="F243" t="s">
        <v>10</v>
      </c>
      <c r="G243">
        <v>12800</v>
      </c>
    </row>
    <row r="244" spans="1:7" x14ac:dyDescent="0.25">
      <c r="A244">
        <v>243</v>
      </c>
      <c r="B244" s="1">
        <v>45976</v>
      </c>
      <c r="C244" t="s">
        <v>9</v>
      </c>
      <c r="D244">
        <v>3</v>
      </c>
      <c r="E244">
        <v>85</v>
      </c>
      <c r="F244" t="s">
        <v>11</v>
      </c>
      <c r="G244">
        <v>255</v>
      </c>
    </row>
    <row r="245" spans="1:7" x14ac:dyDescent="0.25">
      <c r="A245">
        <v>244</v>
      </c>
      <c r="B245" s="1">
        <v>45684</v>
      </c>
      <c r="C245" t="s">
        <v>7</v>
      </c>
      <c r="D245">
        <v>4</v>
      </c>
      <c r="E245">
        <v>210</v>
      </c>
      <c r="F245" t="s">
        <v>13</v>
      </c>
      <c r="G245">
        <v>840</v>
      </c>
    </row>
    <row r="246" spans="1:7" x14ac:dyDescent="0.25">
      <c r="A246">
        <v>245</v>
      </c>
      <c r="B246" s="1">
        <v>45805</v>
      </c>
      <c r="C246" t="s">
        <v>15</v>
      </c>
      <c r="D246">
        <v>2</v>
      </c>
      <c r="E246">
        <v>160</v>
      </c>
      <c r="F246" t="s">
        <v>11</v>
      </c>
      <c r="G246">
        <v>320</v>
      </c>
    </row>
    <row r="247" spans="1:7" x14ac:dyDescent="0.25">
      <c r="A247">
        <v>246</v>
      </c>
      <c r="B247" s="1">
        <v>45720</v>
      </c>
      <c r="C247" t="s">
        <v>7</v>
      </c>
      <c r="D247">
        <v>4</v>
      </c>
      <c r="E247">
        <v>210</v>
      </c>
      <c r="F247" t="s">
        <v>10</v>
      </c>
      <c r="G247">
        <v>840</v>
      </c>
    </row>
    <row r="248" spans="1:7" x14ac:dyDescent="0.25">
      <c r="A248">
        <v>247</v>
      </c>
      <c r="B248" s="1">
        <v>46021</v>
      </c>
      <c r="C248" t="s">
        <v>7</v>
      </c>
      <c r="D248">
        <v>2</v>
      </c>
      <c r="E248">
        <v>210</v>
      </c>
      <c r="F248" t="s">
        <v>13</v>
      </c>
      <c r="G248">
        <v>420</v>
      </c>
    </row>
    <row r="249" spans="1:7" x14ac:dyDescent="0.25">
      <c r="A249">
        <v>248</v>
      </c>
      <c r="B249" s="1">
        <v>45940</v>
      </c>
      <c r="C249" t="s">
        <v>15</v>
      </c>
      <c r="D249">
        <v>1</v>
      </c>
      <c r="E249">
        <v>160</v>
      </c>
      <c r="F249" t="s">
        <v>11</v>
      </c>
      <c r="G249">
        <v>160</v>
      </c>
    </row>
    <row r="250" spans="1:7" x14ac:dyDescent="0.25">
      <c r="A250">
        <v>249</v>
      </c>
      <c r="B250" s="1">
        <v>45716</v>
      </c>
      <c r="C250" t="s">
        <v>12</v>
      </c>
      <c r="D250">
        <v>2</v>
      </c>
      <c r="E250">
        <v>3200</v>
      </c>
      <c r="F250" t="s">
        <v>11</v>
      </c>
      <c r="G250">
        <v>6400</v>
      </c>
    </row>
    <row r="251" spans="1:7" x14ac:dyDescent="0.25">
      <c r="A251">
        <v>250</v>
      </c>
      <c r="B251" s="1">
        <v>45913</v>
      </c>
      <c r="C251" t="s">
        <v>12</v>
      </c>
      <c r="D251">
        <v>2</v>
      </c>
      <c r="E251">
        <v>3200</v>
      </c>
      <c r="F251" t="s">
        <v>8</v>
      </c>
      <c r="G251">
        <v>6400</v>
      </c>
    </row>
    <row r="252" spans="1:7" x14ac:dyDescent="0.25">
      <c r="A252">
        <v>251</v>
      </c>
      <c r="B252" s="1">
        <v>45870</v>
      </c>
      <c r="C252" t="s">
        <v>14</v>
      </c>
      <c r="D252">
        <v>3</v>
      </c>
      <c r="E252">
        <v>240</v>
      </c>
      <c r="F252" t="s">
        <v>11</v>
      </c>
      <c r="G252">
        <v>720</v>
      </c>
    </row>
    <row r="253" spans="1:7" x14ac:dyDescent="0.25">
      <c r="A253">
        <v>252</v>
      </c>
      <c r="B253" s="1">
        <v>45891</v>
      </c>
      <c r="C253" t="s">
        <v>17</v>
      </c>
      <c r="D253">
        <v>2</v>
      </c>
      <c r="E253">
        <v>950</v>
      </c>
      <c r="F253" t="s">
        <v>16</v>
      </c>
      <c r="G253">
        <v>1900</v>
      </c>
    </row>
    <row r="254" spans="1:7" x14ac:dyDescent="0.25">
      <c r="A254">
        <v>253</v>
      </c>
      <c r="B254" s="1">
        <v>45755</v>
      </c>
      <c r="C254" t="s">
        <v>9</v>
      </c>
      <c r="D254">
        <v>4</v>
      </c>
      <c r="E254">
        <v>85</v>
      </c>
      <c r="F254" t="s">
        <v>16</v>
      </c>
      <c r="G254">
        <v>340</v>
      </c>
    </row>
    <row r="255" spans="1:7" x14ac:dyDescent="0.25">
      <c r="A255">
        <v>254</v>
      </c>
      <c r="B255" s="1">
        <v>45693</v>
      </c>
      <c r="C255" t="s">
        <v>14</v>
      </c>
      <c r="D255">
        <v>2</v>
      </c>
      <c r="E255">
        <v>240</v>
      </c>
      <c r="F255" t="s">
        <v>8</v>
      </c>
      <c r="G255">
        <v>480</v>
      </c>
    </row>
    <row r="256" spans="1:7" x14ac:dyDescent="0.25">
      <c r="A256">
        <v>255</v>
      </c>
      <c r="B256" s="1">
        <v>45917</v>
      </c>
      <c r="C256" t="s">
        <v>17</v>
      </c>
      <c r="D256">
        <v>3</v>
      </c>
      <c r="E256">
        <v>950</v>
      </c>
      <c r="F256" t="s">
        <v>8</v>
      </c>
      <c r="G256">
        <v>2850</v>
      </c>
    </row>
    <row r="257" spans="1:7" x14ac:dyDescent="0.25">
      <c r="A257">
        <v>256</v>
      </c>
      <c r="B257" s="1">
        <v>45810</v>
      </c>
      <c r="C257" t="s">
        <v>12</v>
      </c>
      <c r="D257">
        <v>3</v>
      </c>
      <c r="E257">
        <v>3200</v>
      </c>
      <c r="F257" t="s">
        <v>16</v>
      </c>
      <c r="G257">
        <v>9600</v>
      </c>
    </row>
    <row r="258" spans="1:7" x14ac:dyDescent="0.25">
      <c r="A258">
        <v>257</v>
      </c>
      <c r="B258" s="1">
        <v>45734</v>
      </c>
      <c r="C258" t="s">
        <v>14</v>
      </c>
      <c r="D258">
        <v>4</v>
      </c>
      <c r="E258">
        <v>240</v>
      </c>
      <c r="F258" t="s">
        <v>11</v>
      </c>
      <c r="G258">
        <v>960</v>
      </c>
    </row>
    <row r="259" spans="1:7" x14ac:dyDescent="0.25">
      <c r="A259">
        <v>258</v>
      </c>
      <c r="B259" s="1">
        <v>45834</v>
      </c>
      <c r="C259" t="s">
        <v>14</v>
      </c>
      <c r="D259">
        <v>4</v>
      </c>
      <c r="E259">
        <v>240</v>
      </c>
      <c r="F259" t="s">
        <v>8</v>
      </c>
      <c r="G259">
        <v>960</v>
      </c>
    </row>
    <row r="260" spans="1:7" x14ac:dyDescent="0.25">
      <c r="A260">
        <v>259</v>
      </c>
      <c r="B260" s="1">
        <v>45891</v>
      </c>
      <c r="C260" t="s">
        <v>14</v>
      </c>
      <c r="D260">
        <v>4</v>
      </c>
      <c r="E260">
        <v>240</v>
      </c>
      <c r="F260" t="s">
        <v>8</v>
      </c>
      <c r="G260">
        <v>960</v>
      </c>
    </row>
    <row r="261" spans="1:7" x14ac:dyDescent="0.25">
      <c r="A261">
        <v>260</v>
      </c>
      <c r="B261" s="1">
        <v>45950</v>
      </c>
      <c r="C261" t="s">
        <v>9</v>
      </c>
      <c r="D261">
        <v>2</v>
      </c>
      <c r="E261">
        <v>85</v>
      </c>
      <c r="F261" t="s">
        <v>11</v>
      </c>
      <c r="G261">
        <v>170</v>
      </c>
    </row>
    <row r="262" spans="1:7" x14ac:dyDescent="0.25">
      <c r="A262">
        <v>261</v>
      </c>
      <c r="B262" s="1">
        <v>45680</v>
      </c>
      <c r="C262" t="s">
        <v>9</v>
      </c>
      <c r="D262">
        <v>4</v>
      </c>
      <c r="E262">
        <v>85</v>
      </c>
      <c r="F262" t="s">
        <v>8</v>
      </c>
      <c r="G262">
        <v>340</v>
      </c>
    </row>
    <row r="263" spans="1:7" x14ac:dyDescent="0.25">
      <c r="A263">
        <v>262</v>
      </c>
      <c r="B263" s="1">
        <v>46019</v>
      </c>
      <c r="C263" t="s">
        <v>7</v>
      </c>
      <c r="D263">
        <v>4</v>
      </c>
      <c r="E263">
        <v>210</v>
      </c>
      <c r="F263" t="s">
        <v>11</v>
      </c>
      <c r="G263">
        <v>840</v>
      </c>
    </row>
    <row r="264" spans="1:7" x14ac:dyDescent="0.25">
      <c r="A264">
        <v>263</v>
      </c>
      <c r="B264" s="1">
        <v>45911</v>
      </c>
      <c r="C264" t="s">
        <v>17</v>
      </c>
      <c r="D264">
        <v>2</v>
      </c>
      <c r="E264">
        <v>950</v>
      </c>
      <c r="F264" t="s">
        <v>10</v>
      </c>
      <c r="G264">
        <v>1900</v>
      </c>
    </row>
    <row r="265" spans="1:7" x14ac:dyDescent="0.25">
      <c r="A265">
        <v>264</v>
      </c>
      <c r="B265" s="1">
        <v>45709</v>
      </c>
      <c r="C265" t="s">
        <v>9</v>
      </c>
      <c r="D265">
        <v>3</v>
      </c>
      <c r="E265">
        <v>85</v>
      </c>
      <c r="F265" t="s">
        <v>11</v>
      </c>
      <c r="G265">
        <v>255</v>
      </c>
    </row>
    <row r="266" spans="1:7" x14ac:dyDescent="0.25">
      <c r="A266">
        <v>265</v>
      </c>
      <c r="B266" s="1">
        <v>45665</v>
      </c>
      <c r="C266" t="s">
        <v>12</v>
      </c>
      <c r="D266">
        <v>4</v>
      </c>
      <c r="E266">
        <v>3200</v>
      </c>
      <c r="F266" t="s">
        <v>13</v>
      </c>
      <c r="G266">
        <v>12800</v>
      </c>
    </row>
    <row r="267" spans="1:7" x14ac:dyDescent="0.25">
      <c r="A267">
        <v>266</v>
      </c>
      <c r="B267" s="1">
        <v>45696</v>
      </c>
      <c r="C267" t="s">
        <v>17</v>
      </c>
      <c r="D267">
        <v>2</v>
      </c>
      <c r="E267">
        <v>950</v>
      </c>
      <c r="F267" t="s">
        <v>11</v>
      </c>
      <c r="G267">
        <v>1900</v>
      </c>
    </row>
    <row r="268" spans="1:7" x14ac:dyDescent="0.25">
      <c r="A268">
        <v>267</v>
      </c>
      <c r="B268" s="1">
        <v>45977</v>
      </c>
      <c r="C268" t="s">
        <v>15</v>
      </c>
      <c r="D268">
        <v>3</v>
      </c>
      <c r="E268">
        <v>160</v>
      </c>
      <c r="F268" t="s">
        <v>11</v>
      </c>
      <c r="G268">
        <v>480</v>
      </c>
    </row>
    <row r="269" spans="1:7" x14ac:dyDescent="0.25">
      <c r="A269">
        <v>268</v>
      </c>
      <c r="B269" s="1">
        <v>45826</v>
      </c>
      <c r="C269" t="s">
        <v>7</v>
      </c>
      <c r="D269">
        <v>1</v>
      </c>
      <c r="E269">
        <v>210</v>
      </c>
      <c r="F269" t="s">
        <v>16</v>
      </c>
      <c r="G269">
        <v>210</v>
      </c>
    </row>
    <row r="270" spans="1:7" x14ac:dyDescent="0.25">
      <c r="A270">
        <v>269</v>
      </c>
      <c r="B270" s="1">
        <v>45978</v>
      </c>
      <c r="C270" t="s">
        <v>17</v>
      </c>
      <c r="D270">
        <v>3</v>
      </c>
      <c r="E270">
        <v>950</v>
      </c>
      <c r="F270" t="s">
        <v>11</v>
      </c>
      <c r="G270">
        <v>2850</v>
      </c>
    </row>
    <row r="271" spans="1:7" x14ac:dyDescent="0.25">
      <c r="A271">
        <v>270</v>
      </c>
      <c r="B271" s="1">
        <v>45974</v>
      </c>
      <c r="C271" t="s">
        <v>14</v>
      </c>
      <c r="D271">
        <v>1</v>
      </c>
      <c r="E271">
        <v>240</v>
      </c>
      <c r="F271" t="s">
        <v>10</v>
      </c>
      <c r="G271">
        <v>240</v>
      </c>
    </row>
    <row r="272" spans="1:7" x14ac:dyDescent="0.25">
      <c r="A272">
        <v>271</v>
      </c>
      <c r="B272" s="1">
        <v>45774</v>
      </c>
      <c r="C272" t="s">
        <v>9</v>
      </c>
      <c r="D272">
        <v>3</v>
      </c>
      <c r="E272">
        <v>85</v>
      </c>
      <c r="F272" t="s">
        <v>10</v>
      </c>
      <c r="G272">
        <v>255</v>
      </c>
    </row>
    <row r="273" spans="1:7" x14ac:dyDescent="0.25">
      <c r="A273">
        <v>272</v>
      </c>
      <c r="B273" s="1">
        <v>45982</v>
      </c>
      <c r="C273" t="s">
        <v>17</v>
      </c>
      <c r="D273">
        <v>1</v>
      </c>
      <c r="E273">
        <v>950</v>
      </c>
      <c r="F273" t="s">
        <v>10</v>
      </c>
      <c r="G273">
        <v>950</v>
      </c>
    </row>
    <row r="274" spans="1:7" x14ac:dyDescent="0.25">
      <c r="A274">
        <v>273</v>
      </c>
      <c r="B274" s="1">
        <v>46013</v>
      </c>
      <c r="C274" t="s">
        <v>17</v>
      </c>
      <c r="D274">
        <v>2</v>
      </c>
      <c r="E274">
        <v>950</v>
      </c>
      <c r="F274" t="s">
        <v>8</v>
      </c>
      <c r="G274">
        <v>1900</v>
      </c>
    </row>
    <row r="275" spans="1:7" x14ac:dyDescent="0.25">
      <c r="A275">
        <v>274</v>
      </c>
      <c r="B275" s="1">
        <v>45824</v>
      </c>
      <c r="C275" t="s">
        <v>12</v>
      </c>
      <c r="D275">
        <v>1</v>
      </c>
      <c r="E275">
        <v>3200</v>
      </c>
      <c r="F275" t="s">
        <v>10</v>
      </c>
      <c r="G275">
        <v>3200</v>
      </c>
    </row>
    <row r="276" spans="1:7" x14ac:dyDescent="0.25">
      <c r="A276">
        <v>275</v>
      </c>
      <c r="B276" s="1">
        <v>45849</v>
      </c>
      <c r="C276" t="s">
        <v>15</v>
      </c>
      <c r="D276">
        <v>3</v>
      </c>
      <c r="E276">
        <v>160</v>
      </c>
      <c r="F276" t="s">
        <v>11</v>
      </c>
      <c r="G276">
        <v>480</v>
      </c>
    </row>
    <row r="277" spans="1:7" x14ac:dyDescent="0.25">
      <c r="A277">
        <v>276</v>
      </c>
      <c r="B277" s="1">
        <v>45929</v>
      </c>
      <c r="C277" t="s">
        <v>9</v>
      </c>
      <c r="D277">
        <v>2</v>
      </c>
      <c r="E277">
        <v>85</v>
      </c>
      <c r="F277" t="s">
        <v>11</v>
      </c>
      <c r="G277">
        <v>170</v>
      </c>
    </row>
    <row r="278" spans="1:7" x14ac:dyDescent="0.25">
      <c r="A278">
        <v>277</v>
      </c>
      <c r="B278" s="1">
        <v>45745</v>
      </c>
      <c r="C278" t="s">
        <v>14</v>
      </c>
      <c r="D278">
        <v>2</v>
      </c>
      <c r="E278">
        <v>240</v>
      </c>
      <c r="F278" t="s">
        <v>13</v>
      </c>
      <c r="G278">
        <v>480</v>
      </c>
    </row>
    <row r="279" spans="1:7" x14ac:dyDescent="0.25">
      <c r="A279">
        <v>278</v>
      </c>
      <c r="B279" s="1">
        <v>45975</v>
      </c>
      <c r="C279" t="s">
        <v>12</v>
      </c>
      <c r="D279">
        <v>4</v>
      </c>
      <c r="E279">
        <v>3200</v>
      </c>
      <c r="F279" t="s">
        <v>13</v>
      </c>
      <c r="G279">
        <v>12800</v>
      </c>
    </row>
    <row r="280" spans="1:7" x14ac:dyDescent="0.25">
      <c r="A280">
        <v>279</v>
      </c>
      <c r="B280" s="1">
        <v>45776</v>
      </c>
      <c r="C280" t="s">
        <v>17</v>
      </c>
      <c r="D280">
        <v>2</v>
      </c>
      <c r="E280">
        <v>950</v>
      </c>
      <c r="F280" t="s">
        <v>11</v>
      </c>
      <c r="G280">
        <v>1900</v>
      </c>
    </row>
    <row r="281" spans="1:7" x14ac:dyDescent="0.25">
      <c r="A281">
        <v>280</v>
      </c>
      <c r="B281" s="1">
        <v>45893</v>
      </c>
      <c r="C281" t="s">
        <v>7</v>
      </c>
      <c r="D281">
        <v>3</v>
      </c>
      <c r="E281">
        <v>210</v>
      </c>
      <c r="F281" t="s">
        <v>8</v>
      </c>
      <c r="G281">
        <v>630</v>
      </c>
    </row>
    <row r="282" spans="1:7" x14ac:dyDescent="0.25">
      <c r="A282">
        <v>281</v>
      </c>
      <c r="B282" s="1">
        <v>45896</v>
      </c>
      <c r="C282" t="s">
        <v>7</v>
      </c>
      <c r="D282">
        <v>1</v>
      </c>
      <c r="E282">
        <v>210</v>
      </c>
      <c r="F282" t="s">
        <v>8</v>
      </c>
      <c r="G282">
        <v>210</v>
      </c>
    </row>
    <row r="283" spans="1:7" x14ac:dyDescent="0.25">
      <c r="A283">
        <v>282</v>
      </c>
      <c r="B283" s="1">
        <v>45695</v>
      </c>
      <c r="C283" t="s">
        <v>7</v>
      </c>
      <c r="D283">
        <v>2</v>
      </c>
      <c r="E283">
        <v>210</v>
      </c>
      <c r="F283" t="s">
        <v>11</v>
      </c>
      <c r="G283">
        <v>420</v>
      </c>
    </row>
    <row r="284" spans="1:7" x14ac:dyDescent="0.25">
      <c r="A284">
        <v>283</v>
      </c>
      <c r="B284" s="1">
        <v>45985</v>
      </c>
      <c r="C284" t="s">
        <v>15</v>
      </c>
      <c r="D284">
        <v>3</v>
      </c>
      <c r="E284">
        <v>160</v>
      </c>
      <c r="F284" t="s">
        <v>11</v>
      </c>
      <c r="G284">
        <v>480</v>
      </c>
    </row>
    <row r="285" spans="1:7" x14ac:dyDescent="0.25">
      <c r="A285">
        <v>284</v>
      </c>
      <c r="B285" s="1">
        <v>45891</v>
      </c>
      <c r="C285" t="s">
        <v>7</v>
      </c>
      <c r="D285">
        <v>3</v>
      </c>
      <c r="E285">
        <v>210</v>
      </c>
      <c r="F285" t="s">
        <v>8</v>
      </c>
      <c r="G285">
        <v>630</v>
      </c>
    </row>
    <row r="286" spans="1:7" x14ac:dyDescent="0.25">
      <c r="A286">
        <v>285</v>
      </c>
      <c r="B286" s="1">
        <v>45905</v>
      </c>
      <c r="C286" t="s">
        <v>9</v>
      </c>
      <c r="D286">
        <v>4</v>
      </c>
      <c r="E286">
        <v>85</v>
      </c>
      <c r="F286" t="s">
        <v>10</v>
      </c>
      <c r="G286">
        <v>340</v>
      </c>
    </row>
    <row r="287" spans="1:7" x14ac:dyDescent="0.25">
      <c r="A287">
        <v>286</v>
      </c>
      <c r="B287" s="1">
        <v>45950</v>
      </c>
      <c r="C287" t="s">
        <v>9</v>
      </c>
      <c r="D287">
        <v>4</v>
      </c>
      <c r="E287">
        <v>85</v>
      </c>
      <c r="F287" t="s">
        <v>8</v>
      </c>
      <c r="G287">
        <v>340</v>
      </c>
    </row>
    <row r="288" spans="1:7" x14ac:dyDescent="0.25">
      <c r="A288">
        <v>287</v>
      </c>
      <c r="B288" s="1">
        <v>46016</v>
      </c>
      <c r="C288" t="s">
        <v>14</v>
      </c>
      <c r="D288">
        <v>3</v>
      </c>
      <c r="E288">
        <v>240</v>
      </c>
      <c r="F288" t="s">
        <v>8</v>
      </c>
      <c r="G288">
        <v>720</v>
      </c>
    </row>
    <row r="289" spans="1:7" x14ac:dyDescent="0.25">
      <c r="A289">
        <v>288</v>
      </c>
      <c r="B289" s="1">
        <v>45798</v>
      </c>
      <c r="C289" t="s">
        <v>12</v>
      </c>
      <c r="D289">
        <v>4</v>
      </c>
      <c r="E289">
        <v>3200</v>
      </c>
      <c r="F289" t="s">
        <v>10</v>
      </c>
      <c r="G289">
        <v>12800</v>
      </c>
    </row>
    <row r="290" spans="1:7" x14ac:dyDescent="0.25">
      <c r="A290">
        <v>289</v>
      </c>
      <c r="B290" s="1">
        <v>45968</v>
      </c>
      <c r="C290" t="s">
        <v>14</v>
      </c>
      <c r="D290">
        <v>1</v>
      </c>
      <c r="E290">
        <v>240</v>
      </c>
      <c r="F290" t="s">
        <v>11</v>
      </c>
      <c r="G290">
        <v>240</v>
      </c>
    </row>
    <row r="291" spans="1:7" x14ac:dyDescent="0.25">
      <c r="A291">
        <v>290</v>
      </c>
      <c r="B291" s="1">
        <v>45968</v>
      </c>
      <c r="C291" t="s">
        <v>15</v>
      </c>
      <c r="D291">
        <v>2</v>
      </c>
      <c r="E291">
        <v>160</v>
      </c>
      <c r="F291" t="s">
        <v>8</v>
      </c>
      <c r="G291">
        <v>320</v>
      </c>
    </row>
    <row r="292" spans="1:7" x14ac:dyDescent="0.25">
      <c r="A292">
        <v>291</v>
      </c>
      <c r="B292" s="1">
        <v>45975</v>
      </c>
      <c r="C292" t="s">
        <v>9</v>
      </c>
      <c r="D292">
        <v>2</v>
      </c>
      <c r="E292">
        <v>85</v>
      </c>
      <c r="F292" t="s">
        <v>8</v>
      </c>
      <c r="G292">
        <v>170</v>
      </c>
    </row>
    <row r="293" spans="1:7" x14ac:dyDescent="0.25">
      <c r="A293">
        <v>292</v>
      </c>
      <c r="B293" s="1">
        <v>45979</v>
      </c>
      <c r="C293" t="s">
        <v>7</v>
      </c>
      <c r="D293">
        <v>2</v>
      </c>
      <c r="E293">
        <v>210</v>
      </c>
      <c r="F293" t="s">
        <v>10</v>
      </c>
      <c r="G293">
        <v>420</v>
      </c>
    </row>
    <row r="294" spans="1:7" x14ac:dyDescent="0.25">
      <c r="A294">
        <v>293</v>
      </c>
      <c r="B294" s="1">
        <v>45816</v>
      </c>
      <c r="C294" t="s">
        <v>7</v>
      </c>
      <c r="D294">
        <v>1</v>
      </c>
      <c r="E294">
        <v>210</v>
      </c>
      <c r="F294" t="s">
        <v>11</v>
      </c>
      <c r="G294">
        <v>210</v>
      </c>
    </row>
    <row r="295" spans="1:7" x14ac:dyDescent="0.25">
      <c r="A295">
        <v>294</v>
      </c>
      <c r="B295" s="1">
        <v>45725</v>
      </c>
      <c r="C295" t="s">
        <v>12</v>
      </c>
      <c r="D295">
        <v>3</v>
      </c>
      <c r="E295">
        <v>3200</v>
      </c>
      <c r="F295" t="s">
        <v>10</v>
      </c>
      <c r="G295">
        <v>9600</v>
      </c>
    </row>
    <row r="296" spans="1:7" x14ac:dyDescent="0.25">
      <c r="A296">
        <v>295</v>
      </c>
      <c r="B296" s="1">
        <v>45870</v>
      </c>
      <c r="C296" t="s">
        <v>15</v>
      </c>
      <c r="D296">
        <v>3</v>
      </c>
      <c r="E296">
        <v>160</v>
      </c>
      <c r="F296" t="s">
        <v>13</v>
      </c>
      <c r="G296">
        <v>480</v>
      </c>
    </row>
    <row r="297" spans="1:7" x14ac:dyDescent="0.25">
      <c r="A297">
        <v>296</v>
      </c>
      <c r="B297" s="1">
        <v>45934</v>
      </c>
      <c r="C297" t="s">
        <v>9</v>
      </c>
      <c r="D297">
        <v>2</v>
      </c>
      <c r="E297">
        <v>85</v>
      </c>
      <c r="F297" t="s">
        <v>8</v>
      </c>
      <c r="G297">
        <v>170</v>
      </c>
    </row>
    <row r="298" spans="1:7" x14ac:dyDescent="0.25">
      <c r="A298">
        <v>297</v>
      </c>
      <c r="B298" s="1">
        <v>45742</v>
      </c>
      <c r="C298" t="s">
        <v>14</v>
      </c>
      <c r="D298">
        <v>3</v>
      </c>
      <c r="E298">
        <v>240</v>
      </c>
      <c r="F298" t="s">
        <v>8</v>
      </c>
      <c r="G298">
        <v>720</v>
      </c>
    </row>
    <row r="299" spans="1:7" x14ac:dyDescent="0.25">
      <c r="A299">
        <v>298</v>
      </c>
      <c r="B299" s="1">
        <v>45831</v>
      </c>
      <c r="C299" t="s">
        <v>17</v>
      </c>
      <c r="D299">
        <v>3</v>
      </c>
      <c r="E299">
        <v>950</v>
      </c>
      <c r="F299" t="s">
        <v>10</v>
      </c>
      <c r="G299">
        <v>2850</v>
      </c>
    </row>
    <row r="300" spans="1:7" x14ac:dyDescent="0.25">
      <c r="A300">
        <v>299</v>
      </c>
      <c r="B300" s="1">
        <v>45730</v>
      </c>
      <c r="C300" t="s">
        <v>17</v>
      </c>
      <c r="D300">
        <v>1</v>
      </c>
      <c r="E300">
        <v>950</v>
      </c>
      <c r="F300" t="s">
        <v>13</v>
      </c>
      <c r="G300">
        <v>950</v>
      </c>
    </row>
    <row r="301" spans="1:7" x14ac:dyDescent="0.25">
      <c r="A301">
        <v>300</v>
      </c>
      <c r="B301" s="1">
        <v>45943</v>
      </c>
      <c r="C301" t="s">
        <v>7</v>
      </c>
      <c r="D301">
        <v>4</v>
      </c>
      <c r="E301">
        <v>210</v>
      </c>
      <c r="F301" t="s">
        <v>8</v>
      </c>
      <c r="G301">
        <v>840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73B6-A308-4049-97B7-8664A697174D}">
  <dimension ref="A1:B4"/>
  <sheetViews>
    <sheetView workbookViewId="0">
      <selection activeCell="G4" sqref="G4"/>
    </sheetView>
  </sheetViews>
  <sheetFormatPr defaultRowHeight="15" x14ac:dyDescent="0.25"/>
  <cols>
    <col min="1" max="1" width="17.42578125" bestFit="1" customWidth="1"/>
    <col min="2" max="2" width="12.710937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s="2">
        <f>SUM(tb_vendas[faturamento])</f>
        <v>566725</v>
      </c>
    </row>
    <row r="3" spans="1:2" x14ac:dyDescent="0.25">
      <c r="A3" t="s">
        <v>21</v>
      </c>
      <c r="B3">
        <f>COUNTA(tb_vendas[pedido_id])</f>
        <v>300</v>
      </c>
    </row>
    <row r="4" spans="1:2" x14ac:dyDescent="0.25">
      <c r="A4" t="s">
        <v>22</v>
      </c>
      <c r="B4" s="2">
        <f>B2/B3</f>
        <v>1889.0833333333333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Analise_Produtos</vt:lpstr>
      <vt:lpstr>Analise_Regioes</vt:lpstr>
      <vt:lpstr>Dashboard</vt:lpstr>
      <vt:lpstr>Base_Dados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Silva</dc:creator>
  <cp:lastModifiedBy>Breno Silva</cp:lastModifiedBy>
  <cp:lastPrinted>2026-10-11T05:24:39Z</cp:lastPrinted>
  <dcterms:created xsi:type="dcterms:W3CDTF">2026-10-10T04:29:42Z</dcterms:created>
  <dcterms:modified xsi:type="dcterms:W3CDTF">2026-10-11T05:25:03Z</dcterms:modified>
</cp:coreProperties>
</file>